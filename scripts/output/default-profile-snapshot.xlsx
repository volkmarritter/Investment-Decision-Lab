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  <sheet sheetId="2" name="CMA Assumptions" state="visible" r:id="rId5"/>
    <sheet sheetId="3" name="Correlations" state="visible" r:id="rId6"/>
    <sheet sheetId="4" name="Look-through Exposures" state="visible" r:id="rId7"/>
    <sheet sheetId="5" name="_Covariance" state="visible" r:id="rId8"/>
    <sheet sheetId="6" name="Risk &amp; Performance" state="visible" r:id="rId9"/>
    <sheet sheetId="7" name="Parameters" state="visible" r:id="rId10"/>
  </sheets>
  <calcPr calcId="171027"/>
</workbook>
</file>

<file path=xl/sharedStrings.xml><?xml version="1.0" encoding="utf-8"?>
<sst xmlns="http://schemas.openxmlformats.org/spreadsheetml/2006/main" count="329" uniqueCount="189">
  <si>
    <t>Asset Class</t>
  </si>
  <si>
    <t>Region / Bucket</t>
  </si>
  <si>
    <t>Allocation %</t>
  </si>
  <si>
    <t>Derivation</t>
  </si>
  <si>
    <t>Default ETF</t>
  </si>
  <si>
    <t>ISIN</t>
  </si>
  <si>
    <t>Listing</t>
  </si>
  <si>
    <t>TER %</t>
  </si>
  <si>
    <t>Cash</t>
  </si>
  <si>
    <t>CHF</t>
  </si>
  <si>
    <t>clamp((10−horizon) × 1.5 + 0, 2, 20) = 2%; capped by defensive sleeve</t>
  </si>
  <si>
    <t>(no ETF — cash sleeve)</t>
  </si>
  <si>
    <t>—</t>
  </si>
  <si>
    <t>Fixed Income</t>
  </si>
  <si>
    <t>Global</t>
  </si>
  <si>
    <t>defensive(40) − cash(2) − gold(5) = 33%</t>
  </si>
  <si>
    <t>iShares Core Global Aggregate Bond UCITS</t>
  </si>
  <si>
    <t>IE00B3F81409</t>
  </si>
  <si>
    <t>SIX: AGGH</t>
  </si>
  <si>
    <t>Equity</t>
  </si>
  <si>
    <t>USA</t>
  </si>
  <si>
    <t>anchor 60% × (max(Sharpe,0.05)/0.25)^0.4 = 0.60 × 1.222 → 60.87% of equity sleeve × 60% equity = 36.52%</t>
  </si>
  <si>
    <t>iShares Core S&amp;P 500 UCITS</t>
  </si>
  <si>
    <t>IE00B5BMR087</t>
  </si>
  <si>
    <t>SIX: CSSPX</t>
  </si>
  <si>
    <t>EM</t>
  </si>
  <si>
    <t>anchor 11% × (max(Sharpe,0.05)/0.25)^0.4 = 0.11 × 1.167 × 1.3 (horizon ≥ 10) → 13.86% of equity sleeve × 60% equity = 8.32%</t>
  </si>
  <si>
    <t>iShares Core MSCI EM IMI UCITS</t>
  </si>
  <si>
    <t>IE00BKM4GZ66</t>
  </si>
  <si>
    <t>SIX: EIMI</t>
  </si>
  <si>
    <t>Switzerland</t>
  </si>
  <si>
    <t>anchor 4% × (max(Sharpe,0.05)/0.25)^0.4 = 0.04 × 1.243 × home-bias 2.5 → 10.32% of equity sleeve × 60% equity = 6.19%</t>
  </si>
  <si>
    <t>iShares Core SPI</t>
  </si>
  <si>
    <t>CH0237935652</t>
  </si>
  <si>
    <t>SIX: CHSPI</t>
  </si>
  <si>
    <t>Europe</t>
  </si>
  <si>
    <t>anchor 10% × (max(Sharpe,0.05)/0.25)^0.4 = 0.10 × 1.228 → 10.20% of equity sleeve × 60% equity = 6.12%</t>
  </si>
  <si>
    <t>iShares Core MSCI Europe UCITS</t>
  </si>
  <si>
    <t>IE00B4K48X80</t>
  </si>
  <si>
    <t>SIX: CEU</t>
  </si>
  <si>
    <t>Japan</t>
  </si>
  <si>
    <t>anchor 5% × (max(Sharpe,0.05)/0.25)^0.4 = 0.05 × 1.144 → 4.75% of equity sleeve × 60% equity = 2.85%</t>
  </si>
  <si>
    <t>iShares Core MSCI Japan IMI UCITS</t>
  </si>
  <si>
    <t>IE00B4L5YX21</t>
  </si>
  <si>
    <t>SIX: CSJP</t>
  </si>
  <si>
    <t>Commodities</t>
  </si>
  <si>
    <t>Gold</t>
  </si>
  <si>
    <t>min(5, bonds(38) × 0.15 = 5.70) = 5.00%; subtracted from bonds</t>
  </si>
  <si>
    <t>Invesco Physical Gold ETC</t>
  </si>
  <si>
    <t>IE00B579F325</t>
  </si>
  <si>
    <t>SIX: SGLD</t>
  </si>
  <si>
    <t>Total</t>
  </si>
  <si>
    <t>Equity Construction (this example) — anchor × POWER(MAX(Sharpe,0.05)/0.25, 0.4) × home-bias × EM tilt, normalised, × equity share (60%)</t>
  </si>
  <si>
    <t>Region</t>
  </si>
  <si>
    <t>Anchor</t>
  </si>
  <si>
    <t>Sharpe (live)</t>
  </si>
  <si>
    <t>Overlay</t>
  </si>
  <si>
    <t>Home-bias</t>
  </si>
  <si>
    <t>EM tilt</t>
  </si>
  <si>
    <t>Raw</t>
  </si>
  <si>
    <t>Normalised × 60%</t>
  </si>
  <si>
    <t>Asset Key</t>
  </si>
  <si>
    <t>Label</t>
  </si>
  <si>
    <t>Expected Return μ</t>
  </si>
  <si>
    <t>Volatility σ</t>
  </si>
  <si>
    <t>Sharpe ((μ−Rf)/σ)</t>
  </si>
  <si>
    <t>Risk-Free Rate (CHF)</t>
  </si>
  <si>
    <t>equity_us</t>
  </si>
  <si>
    <t>US Equity</t>
  </si>
  <si>
    <t>equity_eu</t>
  </si>
  <si>
    <t>Europe Equity</t>
  </si>
  <si>
    <t>equity_uk</t>
  </si>
  <si>
    <t>UK Equity</t>
  </si>
  <si>
    <t>equity_ch</t>
  </si>
  <si>
    <t>Swiss Equity</t>
  </si>
  <si>
    <t>equity_jp</t>
  </si>
  <si>
    <t>Japan Equity</t>
  </si>
  <si>
    <t>equity_em</t>
  </si>
  <si>
    <t>EM Equity</t>
  </si>
  <si>
    <t>equity_thematic</t>
  </si>
  <si>
    <t>Thematic Equity</t>
  </si>
  <si>
    <t>equity_other</t>
  </si>
  <si>
    <t>Other / Residual</t>
  </si>
  <si>
    <t>bonds</t>
  </si>
  <si>
    <t>Global Bonds</t>
  </si>
  <si>
    <t>cash</t>
  </si>
  <si>
    <t>gold</t>
  </si>
  <si>
    <t>reits</t>
  </si>
  <si>
    <t>Listed Real Estate</t>
  </si>
  <si>
    <t>crypto</t>
  </si>
  <si>
    <t>Crypto</t>
  </si>
  <si>
    <t>Asset</t>
  </si>
  <si>
    <t>Weight</t>
  </si>
  <si>
    <t>WHT Drag</t>
  </si>
  <si>
    <t>μ effective</t>
  </si>
  <si>
    <t>Benchmark Wt</t>
  </si>
  <si>
    <t>Equity-USA×United States 34.83%</t>
  </si>
  <si>
    <t>Equity-Europe×France 0.86% + Equity-Europe×Germany 0.83% + Equity-Europe×Netherlands 0.52% + Equity-Europe×Spain 0.33% + Equity-Europe×Italy 0.28% + Equity-Europe×Sweden 0.28% + Equity-Europe×Finland 0.10% + Equity-Europe×Denmark 0.10% + Equity-Europe×Belgium 0.08% + Equity-Europe×Norway 0.06%</t>
  </si>
  <si>
    <t>Equity-Europe×United Kingdom 1.20%</t>
  </si>
  <si>
    <t>Equity-Switzerland×Switzerland 4.93% + Equity-Europe×Switzerland 0.75%</t>
  </si>
  <si>
    <t>Equity-EM×Hong Kong 0.10% + Equity-Japan×Japan 2.72%</t>
  </si>
  <si>
    <t>Equity-EM×Taiwan 1.83% + Equity-EM×China 1.74% + Equity-EM×South Korea 1.26% + Equity-EM×India 0.96% + Equity-EM×Brazil 0.37% + Equity-EM×Saudi Arabia 0.25% + Equity-EM×South Africa 0.23% + Equity-EM×Mexico 0.15% + Equity-EM×Malaysia 0.12% + Equity-EM×Thailand 0.10% + Equity-EM×United Arab Emirates 0.10% + Equity-EM×Poland 0.09%</t>
  </si>
  <si>
    <t>Equity-USA unmapped 1.77% + Equity-EM unmapped 1.00% + Equity-Switzerland unmapped 1.27% + Equity-Europe unmapped 0.70% + Equity-Japan unmapped 0.08%</t>
  </si>
  <si>
    <t>Fixed Income-Global 33.0%</t>
  </si>
  <si>
    <t>Cash CHF 2.0%</t>
  </si>
  <si>
    <t>Commodities-Gold 5.0%</t>
  </si>
  <si>
    <t>Σ_ij = σi·σj·ρij</t>
  </si>
  <si>
    <t>Metric</t>
  </si>
  <si>
    <t>Value</t>
  </si>
  <si>
    <t>Formula / Note</t>
  </si>
  <si>
    <t>Building blocks (live formulas)</t>
  </si>
  <si>
    <t>Portfolio gross variance (σ_p²)</t>
  </si>
  <si>
    <t>wᵖ' Σ wᵖ — quadratic form using the covariance sheet.</t>
  </si>
  <si>
    <t>Benchmark gross variance (σ_B²)</t>
  </si>
  <si>
    <t>wᴮ' Σ wᴮ — ACWI proxy benchmark from BENCHMARK in metrics.ts.</t>
  </si>
  <si>
    <t>Cov(portfolio, benchmark)</t>
  </si>
  <si>
    <t>wᵖ' Σ wᴮ — needed for β and tracking error.</t>
  </si>
  <si>
    <t>Equity share (incl. REITs + Crypto)</t>
  </si>
  <si>
    <t>Used by the heuristic max-drawdown formula.</t>
  </si>
  <si>
    <t>Risk-free rate (CHF, decimal)</t>
  </si>
  <si>
    <t>Risk &amp; Performance Metrics (live formulas)</t>
  </si>
  <si>
    <t>Expected Return (net of WHT)</t>
  </si>
  <si>
    <t>Σ wᵢ · μᵢ_effective. Cash sleeve uses Rf_CHF for μ; equity rows are CMA μ minus WHT drag (CHF resident: equity_ch WHT = 0).</t>
  </si>
  <si>
    <t>Volatility (σ_p)</t>
  </si>
  <si>
    <t>√(wᵖ' Σ wᵖ). Normal-regime correlations.</t>
  </si>
  <si>
    <t>Sharpe Ratio</t>
  </si>
  <si>
    <t>(μ_p − Rf) / σ_p with Rf = CHF risk-free rate.</t>
  </si>
  <si>
    <t>Max Drawdown (heuristic)</t>
  </si>
  <si>
    <t>− min(0.85, (1.8 + 1.4·equityShare)·σ_p). For path-based MDD see the MC tab in the live app.</t>
  </si>
  <si>
    <t>Beta (vs ACWI)</t>
  </si>
  <si>
    <t>Cov(p,B) / Var(B). ACWI proxy = 60/14/4/4/4/14 across US/EU/UK/CH/JP/EM.</t>
  </si>
  <si>
    <t>Alpha (p.a. vs ACWI)</t>
  </si>
  <si>
    <t>μ_p − [Rf + β · (μ_B − Rf)]. Uses net (post-WHT) returns on both sides.</t>
  </si>
  <si>
    <t>Tracking Error (p.a.)</t>
  </si>
  <si>
    <t>√(Var_p + Var_B − 2·Cov(p,B)) — stdev of the active return.</t>
  </si>
  <si>
    <t>Outperformance (vs ACWI p.a.)</t>
  </si>
  <si>
    <t>μ_p − μ_B (both net of WHT).</t>
  </si>
  <si>
    <t>Snapshot</t>
  </si>
  <si>
    <t>Generated on</t>
  </si>
  <si>
    <t>2026-05-12</t>
  </si>
  <si>
    <t/>
  </si>
  <si>
    <t>Source app</t>
  </si>
  <si>
    <t>Investment Decision Lab (artifacts/investment-lab)</t>
  </si>
  <si>
    <t>Default form values</t>
  </si>
  <si>
    <t>Base currency</t>
  </si>
  <si>
    <t>Risk appetite</t>
  </si>
  <si>
    <t>High</t>
  </si>
  <si>
    <t>Horizon (years)</t>
  </si>
  <si>
    <t>Target equity %</t>
  </si>
  <si>
    <t>60%</t>
  </si>
  <si>
    <t>Number of ETFs</t>
  </si>
  <si>
    <t>Preferred exchange</t>
  </si>
  <si>
    <t>SIX</t>
  </si>
  <si>
    <t>Thematic preference</t>
  </si>
  <si>
    <t>None</t>
  </si>
  <si>
    <t>Currency hedging</t>
  </si>
  <si>
    <t>off</t>
  </si>
  <si>
    <t>Synthetic ETFs</t>
  </si>
  <si>
    <t>Look-through view</t>
  </si>
  <si>
    <t>on</t>
  </si>
  <si>
    <t>Listed real estate</t>
  </si>
  <si>
    <t>Commodities (Gold)</t>
  </si>
  <si>
    <t>Risk-free rates (active = built-in ⊕ app-defaults.json)</t>
  </si>
  <si>
    <t>Rf USD</t>
  </si>
  <si>
    <t>built-in only</t>
  </si>
  <si>
    <t>Rf EUR</t>
  </si>
  <si>
    <t>from app-defaults.json</t>
  </si>
  <si>
    <t>Rf GBP</t>
  </si>
  <si>
    <t>Rf CHF</t>
  </si>
  <si>
    <t>Home-bias factors</t>
  </si>
  <si>
    <t>Home bias USD</t>
  </si>
  <si>
    <t>multiplier on home-region anchor</t>
  </si>
  <si>
    <t>Home bias EUR</t>
  </si>
  <si>
    <t>Home bias GBP</t>
  </si>
  <si>
    <t>Home bias CHF</t>
  </si>
  <si>
    <t>Equity-region cap constants</t>
  </si>
  <si>
    <t>Per-region cap</t>
  </si>
  <si>
    <t>65%</t>
  </si>
  <si>
    <t>EQUITY_REGION_CAP</t>
  </si>
  <si>
    <t>MCAP anchor (CHF) — USA</t>
  </si>
  <si>
    <t>MCAP anchor (CHF) — Europe</t>
  </si>
  <si>
    <t>10%</t>
  </si>
  <si>
    <t>MCAP anchor (CHF) — Switzerland</t>
  </si>
  <si>
    <t>4%</t>
  </si>
  <si>
    <t>MCAP anchor (CHF) — Japan</t>
  </si>
  <si>
    <t>5%</t>
  </si>
  <si>
    <t>MCAP anchor (CHF) — EM</t>
  </si>
  <si>
    <t>11%</t>
  </si>
  <si>
    <t>Benchmark (MSCI ACWI proxy used for α / 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</si>
</sst>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000%"/>
    <numFmt numFmtId="167" formatCode="0.00000"/>
    <numFmt numFmtId="168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7EE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10" fontId="1" fillId="2" borderId="0" xfId="0" applyNumberFormat="1" applyFont="1" applyFill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top" wrapText="1"/>
    </xf>
    <xf numFmtId="165" fontId="0" fillId="0" borderId="0" xfId="0" applyNumberFormat="1"/>
    <xf numFmtId="164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1" fillId="3" borderId="0" xfId="0" applyNumberFormat="1" applyFont="1" applyFill="1"/>
    <xf numFmtId="166" fontId="0" fillId="0" borderId="0" xfId="0" applyNumberFormat="1"/>
    <xf numFmtId="166" fontId="1" fillId="2" borderId="0" xfId="0" applyNumberFormat="1" applyFont="1" applyFill="1" applyAlignment="1">
      <alignment vertical="center"/>
    </xf>
    <xf numFmtId="166" fontId="1" fillId="2" borderId="0" xfId="0" applyNumberFormat="1" applyFont="1" applyFill="1"/>
    <xf numFmtId="167" fontId="0" fillId="0" borderId="0" xfId="0" applyNumberFormat="1"/>
    <xf numFmtId="167" fontId="1" fillId="2" borderId="0" xfId="0" applyNumberFormat="1" applyFont="1" applyFill="1" applyAlignment="1">
      <alignment vertical="center"/>
    </xf>
    <xf numFmtId="167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8" customWidth="1"/>
    <col min="2" max="2" width="22" customWidth="1"/>
    <col min="3" max="3" width="14" style="1" customWidth="1"/>
    <col min="4" max="4" width="80" style="2" customWidth="1"/>
    <col min="5" max="5" width="42" customWidth="1"/>
    <col min="6" max="7" width="16" customWidth="1"/>
    <col min="8" max="8" width="10" style="1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 t="s">
        <v>8</v>
      </c>
      <c r="B2" t="s">
        <v>9</v>
      </c>
      <c r="C2" s="1">
        <f>MAX(0.02,MIN(0.20,(10-10)*0.015+0))</f>
        <v>0.02</v>
      </c>
      <c r="D2" s="2" t="s">
        <v>10</v>
      </c>
      <c r="E2" t="s">
        <v>11</v>
      </c>
      <c r="F2" t="s">
        <v>12</v>
      </c>
      <c r="G2" t="s">
        <v>12</v>
      </c>
      <c r="H2" s="1"/>
    </row>
    <row r="3" spans="1:8" x14ac:dyDescent="0.25">
      <c r="A3" t="s">
        <v>13</v>
      </c>
      <c r="B3" t="s">
        <v>14</v>
      </c>
      <c r="C3" s="1">
        <f>1-0.6-C2-C9</f>
        <v>0.33</v>
      </c>
      <c r="D3" s="2" t="s">
        <v>15</v>
      </c>
      <c r="E3" t="s">
        <v>16</v>
      </c>
      <c r="F3" t="s">
        <v>17</v>
      </c>
      <c r="G3" t="s">
        <v>18</v>
      </c>
      <c r="H3" s="1">
        <v>0.001</v>
      </c>
    </row>
    <row r="4" spans="1:8" x14ac:dyDescent="0.25">
      <c r="A4" t="s">
        <v>19</v>
      </c>
      <c r="B4" t="s">
        <v>20</v>
      </c>
      <c r="C4" s="1">
        <f>H14</f>
        <v>0.3652191014734885</v>
      </c>
      <c r="D4" s="2" t="s">
        <v>21</v>
      </c>
      <c r="E4" t="s">
        <v>22</v>
      </c>
      <c r="F4" t="s">
        <v>23</v>
      </c>
      <c r="G4" t="s">
        <v>24</v>
      </c>
      <c r="H4" s="1">
        <v>0.0007000000000000001</v>
      </c>
    </row>
    <row r="5" spans="1:8" x14ac:dyDescent="0.25">
      <c r="A5" t="s">
        <v>19</v>
      </c>
      <c r="B5" t="s">
        <v>25</v>
      </c>
      <c r="C5" s="1">
        <f>H18</f>
        <v>0.08317515614020608</v>
      </c>
      <c r="D5" s="2" t="s">
        <v>26</v>
      </c>
      <c r="E5" t="s">
        <v>27</v>
      </c>
      <c r="F5" t="s">
        <v>28</v>
      </c>
      <c r="G5" t="s">
        <v>29</v>
      </c>
      <c r="H5" s="1">
        <v>0.0018</v>
      </c>
    </row>
    <row r="6" spans="1:8" x14ac:dyDescent="0.25">
      <c r="A6" t="s">
        <v>19</v>
      </c>
      <c r="B6" t="s">
        <v>30</v>
      </c>
      <c r="C6" s="1">
        <f>H16</f>
        <v>0.06193419854509397</v>
      </c>
      <c r="D6" s="2" t="s">
        <v>31</v>
      </c>
      <c r="E6" t="s">
        <v>32</v>
      </c>
      <c r="F6" t="s">
        <v>33</v>
      </c>
      <c r="G6" t="s">
        <v>34</v>
      </c>
      <c r="H6" s="1">
        <v>0.001</v>
      </c>
    </row>
    <row r="7" spans="1:8" x14ac:dyDescent="0.25">
      <c r="A7" t="s">
        <v>19</v>
      </c>
      <c r="B7" t="s">
        <v>35</v>
      </c>
      <c r="C7" s="1">
        <f>H15</f>
        <v>0.06117252724757706</v>
      </c>
      <c r="D7" s="2" t="s">
        <v>36</v>
      </c>
      <c r="E7" t="s">
        <v>37</v>
      </c>
      <c r="F7" t="s">
        <v>38</v>
      </c>
      <c r="G7" t="s">
        <v>39</v>
      </c>
      <c r="H7" s="1">
        <v>0.0012</v>
      </c>
    </row>
    <row r="8" spans="1:8" x14ac:dyDescent="0.25">
      <c r="A8" t="s">
        <v>19</v>
      </c>
      <c r="B8" t="s">
        <v>40</v>
      </c>
      <c r="C8" s="1">
        <f>H17</f>
        <v>0.028499016593634317</v>
      </c>
      <c r="D8" s="2" t="s">
        <v>41</v>
      </c>
      <c r="E8" t="s">
        <v>42</v>
      </c>
      <c r="F8" t="s">
        <v>43</v>
      </c>
      <c r="G8" t="s">
        <v>44</v>
      </c>
      <c r="H8" s="1">
        <v>0.0012</v>
      </c>
    </row>
    <row r="9" spans="1:8" x14ac:dyDescent="0.25">
      <c r="A9" t="s">
        <v>45</v>
      </c>
      <c r="B9" t="s">
        <v>46</v>
      </c>
      <c r="C9" s="1">
        <f>MIN(0.05,(1-0.6-C2)*0.15)</f>
        <v>0.05</v>
      </c>
      <c r="D9" s="2" t="s">
        <v>47</v>
      </c>
      <c r="E9" t="s">
        <v>48</v>
      </c>
      <c r="F9" t="s">
        <v>49</v>
      </c>
      <c r="G9" t="s">
        <v>50</v>
      </c>
      <c r="H9" s="1">
        <v>0.0012</v>
      </c>
    </row>
    <row r="10" spans="1:8" s="6" customFormat="1" x14ac:dyDescent="0.25">
      <c r="A10" s="6" t="s">
        <v>51</v>
      </c>
      <c r="C10" s="7">
        <f>SUM(C2:C9)</f>
        <v>1</v>
      </c>
      <c r="D10" s="5"/>
      <c r="H10" s="7"/>
    </row>
    <row r="12" spans="1:1" x14ac:dyDescent="0.25">
      <c r="A12" s="8" t="s">
        <v>52</v>
      </c>
    </row>
    <row r="13" spans="1:8" s="6" customFormat="1" x14ac:dyDescent="0.25">
      <c r="A13" s="6" t="s">
        <v>53</v>
      </c>
      <c r="B13" s="6" t="s">
        <v>54</v>
      </c>
      <c r="C13" s="7" t="s">
        <v>55</v>
      </c>
      <c r="D13" s="5" t="s">
        <v>56</v>
      </c>
      <c r="E13" s="6" t="s">
        <v>57</v>
      </c>
      <c r="F13" s="6" t="s">
        <v>58</v>
      </c>
      <c r="G13" s="6" t="s">
        <v>59</v>
      </c>
      <c r="H13" s="7" t="s">
        <v>60</v>
      </c>
    </row>
    <row r="14" spans="1:8" x14ac:dyDescent="0.25">
      <c r="A14" t="s">
        <v>20</v>
      </c>
      <c r="B14" s="9">
        <v>0.6</v>
      </c>
      <c r="C14" s="10">
        <f>'CMA Assumptions'!E2</f>
        <v>0.41250000000000003</v>
      </c>
      <c r="D14" s="11">
        <f>POWER(MAX(C14,0.05)/0.25,0.4)</f>
        <v>1.2217815924161308</v>
      </c>
      <c r="E14" s="9">
        <v>1</v>
      </c>
      <c r="F14" s="9">
        <v>1</v>
      </c>
      <c r="G14" s="12">
        <f>B14*D14*E14*F14</f>
        <v>0.7330689554496784</v>
      </c>
      <c r="H14" s="1">
        <f>G14/SUM(G14:G18)*0.6</f>
        <v>0.3652191014734885</v>
      </c>
    </row>
    <row r="15" spans="1:8" x14ac:dyDescent="0.25">
      <c r="A15" t="s">
        <v>35</v>
      </c>
      <c r="B15" s="9">
        <v>0.1</v>
      </c>
      <c r="C15" s="10">
        <f>'CMA Assumptions'!E3</f>
        <v>0.41764705882352937</v>
      </c>
      <c r="D15" s="11">
        <f>POWER(MAX(C15,0.05)/0.25,0.4)</f>
        <v>1.2278569349378219</v>
      </c>
      <c r="E15" s="9">
        <v>1</v>
      </c>
      <c r="F15" s="9">
        <v>1</v>
      </c>
      <c r="G15" s="12">
        <f>B15*D15*E15*F15</f>
        <v>0.1227856934937822</v>
      </c>
      <c r="H15" s="1">
        <f>G15/SUM(G14:G18)*0.6</f>
        <v>0.06117252724757706</v>
      </c>
    </row>
    <row r="16" spans="1:8" x14ac:dyDescent="0.25">
      <c r="A16" t="s">
        <v>30</v>
      </c>
      <c r="B16" s="9">
        <v>0.04</v>
      </c>
      <c r="C16" s="10">
        <f>'CMA Assumptions'!E5</f>
        <v>0.43076923076923074</v>
      </c>
      <c r="D16" s="11">
        <f>POWER(MAX(C16,0.05)/0.25,0.4)</f>
        <v>1.2431452257258453</v>
      </c>
      <c r="E16" s="9">
        <v>2.5</v>
      </c>
      <c r="F16" s="9">
        <v>1</v>
      </c>
      <c r="G16" s="12">
        <f>B16*D16*E16*F16</f>
        <v>0.12431452257258453</v>
      </c>
      <c r="H16" s="1">
        <f>G16/SUM(G14:G18)*0.6</f>
        <v>0.06193419854509397</v>
      </c>
    </row>
    <row r="17" spans="1:8" x14ac:dyDescent="0.25">
      <c r="A17" t="s">
        <v>40</v>
      </c>
      <c r="B17" s="9">
        <v>0.05</v>
      </c>
      <c r="C17" s="10">
        <f>'CMA Assumptions'!E6</f>
        <v>0.35</v>
      </c>
      <c r="D17" s="11">
        <f>POWER(MAX(C17,0.05)/0.25,0.4)</f>
        <v>1.144066355858723</v>
      </c>
      <c r="E17" s="9">
        <v>1</v>
      </c>
      <c r="F17" s="9">
        <v>1</v>
      </c>
      <c r="G17" s="12">
        <f>B17*D17*E17*F17</f>
        <v>0.05720331779293615</v>
      </c>
      <c r="H17" s="1">
        <f>G17/SUM(G14:G18)*0.6</f>
        <v>0.028499016593634317</v>
      </c>
    </row>
    <row r="18" spans="1:8" x14ac:dyDescent="0.25">
      <c r="A18" t="s">
        <v>25</v>
      </c>
      <c r="B18" s="9">
        <v>0.11</v>
      </c>
      <c r="C18" s="10">
        <f>'CMA Assumptions'!E7</f>
        <v>0.36818181818181817</v>
      </c>
      <c r="D18" s="11">
        <f>POWER(MAX(C18,0.05)/0.25,0.4)</f>
        <v>1.1674786083445743</v>
      </c>
      <c r="E18" s="9">
        <v>1</v>
      </c>
      <c r="F18" s="9">
        <v>1.3</v>
      </c>
      <c r="G18" s="12">
        <f>B18*D18*E18*F18</f>
        <v>0.16694944099327413</v>
      </c>
      <c r="H18" s="1">
        <f>G18/SUM(G14:G18)*0.6</f>
        <v>0.08317515614020608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8" customWidth="1"/>
    <col min="2" max="2" width="22" customWidth="1"/>
    <col min="3" max="3" width="18" style="1" customWidth="1"/>
    <col min="4" max="4" width="16" style="1" customWidth="1"/>
    <col min="5" max="5" width="18" style="10" customWidth="1"/>
    <col min="6" max="6" width="18" style="1" customWidth="1"/>
  </cols>
  <sheetData>
    <row r="1" spans="1:6" s="3" customFormat="1" x14ac:dyDescent="0.25">
      <c r="A1" s="3" t="s">
        <v>61</v>
      </c>
      <c r="B1" s="3" t="s">
        <v>62</v>
      </c>
      <c r="C1" s="4" t="s">
        <v>63</v>
      </c>
      <c r="D1" s="4" t="s">
        <v>64</v>
      </c>
      <c r="E1" s="13" t="s">
        <v>65</v>
      </c>
      <c r="F1" s="4" t="s">
        <v>66</v>
      </c>
    </row>
    <row r="2" spans="1:6" x14ac:dyDescent="0.25">
      <c r="A2" t="s">
        <v>67</v>
      </c>
      <c r="B2" t="s">
        <v>68</v>
      </c>
      <c r="C2" s="1">
        <v>0.07</v>
      </c>
      <c r="D2" s="1">
        <v>0.16</v>
      </c>
      <c r="E2" s="10">
        <f>IF(D2&gt;0,(C2-F2)/D2,0)</f>
        <v>0.41250000000000003</v>
      </c>
      <c r="F2" s="1">
        <v>0.004</v>
      </c>
    </row>
    <row r="3" spans="1:6" x14ac:dyDescent="0.25">
      <c r="A3" t="s">
        <v>69</v>
      </c>
      <c r="B3" t="s">
        <v>70</v>
      </c>
      <c r="C3" s="1">
        <v>0.075</v>
      </c>
      <c r="D3" s="1">
        <v>0.17</v>
      </c>
      <c r="E3" s="10">
        <f>IF(D3&gt;0,(C3-F3)/D3,0)</f>
        <v>0.41764705882352937</v>
      </c>
      <c r="F3" s="1">
        <v>0.004</v>
      </c>
    </row>
    <row r="4" spans="1:6" x14ac:dyDescent="0.25">
      <c r="A4" t="s">
        <v>71</v>
      </c>
      <c r="B4" t="s">
        <v>72</v>
      </c>
      <c r="C4" s="1">
        <v>0.065</v>
      </c>
      <c r="D4" s="1">
        <v>0.15</v>
      </c>
      <c r="E4" s="10">
        <f>IF(D4&gt;0,(C4-F4)/D4,0)</f>
        <v>0.4066666666666667</v>
      </c>
      <c r="F4" s="1">
        <v>0.004</v>
      </c>
    </row>
    <row r="5" spans="1:6" x14ac:dyDescent="0.25">
      <c r="A5" t="s">
        <v>73</v>
      </c>
      <c r="B5" t="s">
        <v>74</v>
      </c>
      <c r="C5" s="1">
        <v>0.06</v>
      </c>
      <c r="D5" s="1">
        <v>0.13</v>
      </c>
      <c r="E5" s="10">
        <f>IF(D5&gt;0,(C5-F5)/D5,0)</f>
        <v>0.43076923076923074</v>
      </c>
      <c r="F5" s="1">
        <v>0.004</v>
      </c>
    </row>
    <row r="6" spans="1:6" x14ac:dyDescent="0.25">
      <c r="A6" t="s">
        <v>75</v>
      </c>
      <c r="B6" t="s">
        <v>76</v>
      </c>
      <c r="C6" s="1">
        <v>0.06</v>
      </c>
      <c r="D6" s="1">
        <v>0.16</v>
      </c>
      <c r="E6" s="10">
        <f>IF(D6&gt;0,(C6-F6)/D6,0)</f>
        <v>0.35</v>
      </c>
      <c r="F6" s="1">
        <v>0.004</v>
      </c>
    </row>
    <row r="7" spans="1:6" x14ac:dyDescent="0.25">
      <c r="A7" t="s">
        <v>77</v>
      </c>
      <c r="B7" t="s">
        <v>78</v>
      </c>
      <c r="C7" s="1">
        <v>0.085</v>
      </c>
      <c r="D7" s="1">
        <v>0.22</v>
      </c>
      <c r="E7" s="10">
        <f>IF(D7&gt;0,(C7-F7)/D7,0)</f>
        <v>0.36818181818181817</v>
      </c>
      <c r="F7" s="1">
        <v>0.004</v>
      </c>
    </row>
    <row r="8" spans="1:6" x14ac:dyDescent="0.25">
      <c r="A8" t="s">
        <v>79</v>
      </c>
      <c r="B8" t="s">
        <v>80</v>
      </c>
      <c r="C8" s="1">
        <v>0.08</v>
      </c>
      <c r="D8" s="1">
        <v>0.22</v>
      </c>
      <c r="E8" s="10">
        <f>IF(D8&gt;0,(C8-F8)/D8,0)</f>
        <v>0.34545454545454546</v>
      </c>
      <c r="F8" s="1">
        <v>0.004</v>
      </c>
    </row>
    <row r="9" spans="1:6" x14ac:dyDescent="0.25">
      <c r="A9" t="s">
        <v>81</v>
      </c>
      <c r="B9" t="s">
        <v>82</v>
      </c>
      <c r="C9" s="1">
        <v>0.072</v>
      </c>
      <c r="D9" s="1">
        <v>0.17</v>
      </c>
      <c r="E9" s="10">
        <f>IF(D9&gt;0,(C9-F9)/D9,0)</f>
        <v>0.3999999999999999</v>
      </c>
      <c r="F9" s="1">
        <v>0.004</v>
      </c>
    </row>
    <row r="10" spans="1:6" x14ac:dyDescent="0.25">
      <c r="A10" t="s">
        <v>83</v>
      </c>
      <c r="B10" t="s">
        <v>84</v>
      </c>
      <c r="C10" s="1">
        <v>0.035</v>
      </c>
      <c r="D10" s="1">
        <v>0.06</v>
      </c>
      <c r="E10" s="10">
        <f>IF(D10&gt;0,(C10-F10)/D10,0)</f>
        <v>0.5166666666666667</v>
      </c>
      <c r="F10" s="1">
        <v>0.004</v>
      </c>
    </row>
    <row r="11" spans="1:6" x14ac:dyDescent="0.25">
      <c r="A11" t="s">
        <v>85</v>
      </c>
      <c r="B11" t="s">
        <v>8</v>
      </c>
      <c r="C11" s="1">
        <v>0.004</v>
      </c>
      <c r="D11" s="1">
        <v>0.005</v>
      </c>
      <c r="E11" s="10">
        <f>IF(D11&gt;0,(C11-F11)/D11,0)</f>
        <v>0</v>
      </c>
      <c r="F11" s="1">
        <v>0.004</v>
      </c>
    </row>
    <row r="12" spans="1:6" x14ac:dyDescent="0.25">
      <c r="A12" t="s">
        <v>86</v>
      </c>
      <c r="B12" t="s">
        <v>46</v>
      </c>
      <c r="C12" s="1">
        <v>0.04</v>
      </c>
      <c r="D12" s="1">
        <v>0.16</v>
      </c>
      <c r="E12" s="10">
        <f>IF(D12&gt;0,(C12-F12)/D12,0)</f>
        <v>0.22500000000000003</v>
      </c>
      <c r="F12" s="1">
        <v>0.004</v>
      </c>
    </row>
    <row r="13" spans="1:6" x14ac:dyDescent="0.25">
      <c r="A13" t="s">
        <v>87</v>
      </c>
      <c r="B13" t="s">
        <v>88</v>
      </c>
      <c r="C13" s="1">
        <v>0.065</v>
      </c>
      <c r="D13" s="1">
        <v>0.18</v>
      </c>
      <c r="E13" s="10">
        <f>IF(D13&gt;0,(C13-F13)/D13,0)</f>
        <v>0.3388888888888889</v>
      </c>
      <c r="F13" s="1">
        <v>0.004</v>
      </c>
    </row>
    <row r="14" spans="1:6" x14ac:dyDescent="0.25">
      <c r="A14" t="s">
        <v>89</v>
      </c>
      <c r="B14" t="s">
        <v>90</v>
      </c>
      <c r="C14" s="1">
        <v>0.12</v>
      </c>
      <c r="D14" s="1">
        <v>0.7</v>
      </c>
      <c r="E14" s="10">
        <f>IF(D14&gt;0,(C14-F14)/D14,0)</f>
        <v>0.1657142857142857</v>
      </c>
      <c r="F14" s="1">
        <v>0.004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14" width="12" style="9" customWidth="1"/>
  </cols>
  <sheetData>
    <row r="1" spans="1:14" s="3" customFormat="1" x14ac:dyDescent="0.25">
      <c r="A1" s="3" t="s">
        <v>91</v>
      </c>
      <c r="B1" s="14" t="s">
        <v>67</v>
      </c>
      <c r="C1" s="14" t="s">
        <v>69</v>
      </c>
      <c r="D1" s="14" t="s">
        <v>71</v>
      </c>
      <c r="E1" s="14" t="s">
        <v>73</v>
      </c>
      <c r="F1" s="14" t="s">
        <v>75</v>
      </c>
      <c r="G1" s="14" t="s">
        <v>77</v>
      </c>
      <c r="H1" s="14" t="s">
        <v>79</v>
      </c>
      <c r="I1" s="14" t="s">
        <v>81</v>
      </c>
      <c r="J1" s="14" t="s">
        <v>83</v>
      </c>
      <c r="K1" s="14" t="s">
        <v>85</v>
      </c>
      <c r="L1" s="14" t="s">
        <v>86</v>
      </c>
      <c r="M1" s="14" t="s">
        <v>87</v>
      </c>
      <c r="N1" s="14" t="s">
        <v>89</v>
      </c>
    </row>
    <row r="2" spans="1:14" x14ac:dyDescent="0.25">
      <c r="A2" s="8" t="s">
        <v>67</v>
      </c>
      <c r="B2" s="15">
        <v>1</v>
      </c>
      <c r="C2" s="9">
        <v>0.82</v>
      </c>
      <c r="D2" s="9">
        <v>0.78</v>
      </c>
      <c r="E2" s="9">
        <v>0.7</v>
      </c>
      <c r="F2" s="9">
        <v>0.7</v>
      </c>
      <c r="G2" s="9">
        <v>0.72</v>
      </c>
      <c r="H2" s="9">
        <v>0.85</v>
      </c>
      <c r="I2" s="9">
        <v>0.85</v>
      </c>
      <c r="J2" s="9">
        <v>0.1</v>
      </c>
      <c r="K2" s="9">
        <v>0</v>
      </c>
      <c r="L2" s="9">
        <v>0.05</v>
      </c>
      <c r="M2" s="9">
        <v>0.7</v>
      </c>
      <c r="N2" s="9">
        <v>0.3</v>
      </c>
    </row>
    <row r="3" spans="1:14" x14ac:dyDescent="0.25">
      <c r="A3" s="8" t="s">
        <v>69</v>
      </c>
      <c r="B3" s="9">
        <v>0.82</v>
      </c>
      <c r="C3" s="15">
        <v>1</v>
      </c>
      <c r="D3" s="9">
        <v>0.85</v>
      </c>
      <c r="E3" s="9">
        <v>0.78</v>
      </c>
      <c r="F3" s="9">
        <v>0.65</v>
      </c>
      <c r="G3" s="9">
        <v>0.72</v>
      </c>
      <c r="H3" s="9">
        <v>0.78</v>
      </c>
      <c r="I3" s="9">
        <v>0.8</v>
      </c>
      <c r="J3" s="9">
        <v>0.1</v>
      </c>
      <c r="K3" s="9">
        <v>0</v>
      </c>
      <c r="L3" s="9">
        <v>0.05</v>
      </c>
      <c r="M3" s="9">
        <v>0.7</v>
      </c>
      <c r="N3" s="9">
        <v>0.28</v>
      </c>
    </row>
    <row r="4" spans="1:14" x14ac:dyDescent="0.25">
      <c r="A4" s="8" t="s">
        <v>71</v>
      </c>
      <c r="B4" s="9">
        <v>0.78</v>
      </c>
      <c r="C4" s="9">
        <v>0.85</v>
      </c>
      <c r="D4" s="15">
        <v>1</v>
      </c>
      <c r="E4" s="9">
        <v>0.72</v>
      </c>
      <c r="F4" s="9">
        <v>0.55</v>
      </c>
      <c r="G4" s="9">
        <v>0.62</v>
      </c>
      <c r="H4" s="9">
        <v>0.65</v>
      </c>
      <c r="I4" s="9">
        <v>0.75</v>
      </c>
      <c r="J4" s="9">
        <v>0.1</v>
      </c>
      <c r="K4" s="9">
        <v>0</v>
      </c>
      <c r="L4" s="9">
        <v>0.1</v>
      </c>
      <c r="M4" s="9">
        <v>0.65</v>
      </c>
      <c r="N4" s="9">
        <v>0.25</v>
      </c>
    </row>
    <row r="5" spans="1:14" x14ac:dyDescent="0.25">
      <c r="A5" s="8" t="s">
        <v>73</v>
      </c>
      <c r="B5" s="9">
        <v>0.7</v>
      </c>
      <c r="C5" s="9">
        <v>0.78</v>
      </c>
      <c r="D5" s="9">
        <v>0.72</v>
      </c>
      <c r="E5" s="15">
        <v>1</v>
      </c>
      <c r="F5" s="9">
        <v>0.55</v>
      </c>
      <c r="G5" s="9">
        <v>0.6</v>
      </c>
      <c r="H5" s="9">
        <v>0.65</v>
      </c>
      <c r="I5" s="9">
        <v>0.7</v>
      </c>
      <c r="J5" s="9">
        <v>0.15</v>
      </c>
      <c r="K5" s="9">
        <v>0</v>
      </c>
      <c r="L5" s="9">
        <v>0.1</v>
      </c>
      <c r="M5" s="9">
        <v>0.62</v>
      </c>
      <c r="N5" s="9">
        <v>0.2</v>
      </c>
    </row>
    <row r="6" spans="1:14" x14ac:dyDescent="0.25">
      <c r="A6" s="8" t="s">
        <v>75</v>
      </c>
      <c r="B6" s="9">
        <v>0.7</v>
      </c>
      <c r="C6" s="9">
        <v>0.65</v>
      </c>
      <c r="D6" s="9">
        <v>0.55</v>
      </c>
      <c r="E6" s="9">
        <v>0.55</v>
      </c>
      <c r="F6" s="15">
        <v>1</v>
      </c>
      <c r="G6" s="9">
        <v>0.6</v>
      </c>
      <c r="H6" s="9">
        <v>0.65</v>
      </c>
      <c r="I6" s="9">
        <v>0.7</v>
      </c>
      <c r="J6" s="9">
        <v>0.1</v>
      </c>
      <c r="K6" s="9">
        <v>0</v>
      </c>
      <c r="L6" s="9">
        <v>0.05</v>
      </c>
      <c r="M6" s="9">
        <v>0.55</v>
      </c>
      <c r="N6" s="9">
        <v>0.22</v>
      </c>
    </row>
    <row r="7" spans="1:14" x14ac:dyDescent="0.25">
      <c r="A7" s="8" t="s">
        <v>77</v>
      </c>
      <c r="B7" s="9">
        <v>0.72</v>
      </c>
      <c r="C7" s="9">
        <v>0.72</v>
      </c>
      <c r="D7" s="9">
        <v>0.62</v>
      </c>
      <c r="E7" s="9">
        <v>0.6</v>
      </c>
      <c r="F7" s="9">
        <v>0.6</v>
      </c>
      <c r="G7" s="15">
        <v>1</v>
      </c>
      <c r="H7" s="9">
        <v>0.75</v>
      </c>
      <c r="I7" s="9">
        <v>0.75</v>
      </c>
      <c r="J7" s="9">
        <v>0.05</v>
      </c>
      <c r="K7" s="9">
        <v>0</v>
      </c>
      <c r="L7" s="9">
        <v>0.15</v>
      </c>
      <c r="M7" s="9">
        <v>0.65</v>
      </c>
      <c r="N7" s="9">
        <v>0.4</v>
      </c>
    </row>
    <row r="8" spans="1:14" x14ac:dyDescent="0.25">
      <c r="A8" s="8" t="s">
        <v>79</v>
      </c>
      <c r="B8" s="9">
        <v>0.85</v>
      </c>
      <c r="C8" s="9">
        <v>0.78</v>
      </c>
      <c r="D8" s="9">
        <v>0.65</v>
      </c>
      <c r="E8" s="9">
        <v>0.65</v>
      </c>
      <c r="F8" s="9">
        <v>0.65</v>
      </c>
      <c r="G8" s="9">
        <v>0.75</v>
      </c>
      <c r="H8" s="15">
        <v>1</v>
      </c>
      <c r="I8" s="9">
        <v>0.8</v>
      </c>
      <c r="J8" s="9">
        <v>0.05</v>
      </c>
      <c r="K8" s="9">
        <v>0</v>
      </c>
      <c r="L8" s="9">
        <v>0.05</v>
      </c>
      <c r="M8" s="9">
        <v>0.65</v>
      </c>
      <c r="N8" s="9">
        <v>0.45</v>
      </c>
    </row>
    <row r="9" spans="1:14" x14ac:dyDescent="0.25">
      <c r="A9" s="8" t="s">
        <v>81</v>
      </c>
      <c r="B9" s="9">
        <v>0.85</v>
      </c>
      <c r="C9" s="9">
        <v>0.8</v>
      </c>
      <c r="D9" s="9">
        <v>0.75</v>
      </c>
      <c r="E9" s="9">
        <v>0.7</v>
      </c>
      <c r="F9" s="9">
        <v>0.7</v>
      </c>
      <c r="G9" s="9">
        <v>0.75</v>
      </c>
      <c r="H9" s="9">
        <v>0.8</v>
      </c>
      <c r="I9" s="15">
        <v>1</v>
      </c>
      <c r="J9" s="9">
        <v>0.1</v>
      </c>
      <c r="K9" s="9">
        <v>0</v>
      </c>
      <c r="L9" s="9">
        <v>0.05</v>
      </c>
      <c r="M9" s="9">
        <v>0.65</v>
      </c>
      <c r="N9" s="9">
        <v>0.3</v>
      </c>
    </row>
    <row r="10" spans="1:14" x14ac:dyDescent="0.25">
      <c r="A10" s="8" t="s">
        <v>83</v>
      </c>
      <c r="B10" s="9">
        <v>0.1</v>
      </c>
      <c r="C10" s="9">
        <v>0.1</v>
      </c>
      <c r="D10" s="9">
        <v>0.1</v>
      </c>
      <c r="E10" s="9">
        <v>0.15</v>
      </c>
      <c r="F10" s="9">
        <v>0.1</v>
      </c>
      <c r="G10" s="9">
        <v>0.05</v>
      </c>
      <c r="H10" s="9">
        <v>0.05</v>
      </c>
      <c r="I10" s="9">
        <v>0.1</v>
      </c>
      <c r="J10" s="15">
        <v>1</v>
      </c>
      <c r="K10" s="9">
        <v>0.4</v>
      </c>
      <c r="L10" s="9">
        <v>0.2</v>
      </c>
      <c r="M10" s="9">
        <v>0.3</v>
      </c>
      <c r="N10" s="9">
        <v>0.05</v>
      </c>
    </row>
    <row r="11" spans="1:14" x14ac:dyDescent="0.25">
      <c r="A11" s="8" t="s">
        <v>85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0.4</v>
      </c>
      <c r="K11" s="15">
        <v>1</v>
      </c>
      <c r="L11" s="9">
        <v>0.05</v>
      </c>
      <c r="M11" s="9">
        <v>0</v>
      </c>
      <c r="N11" s="9">
        <v>0</v>
      </c>
    </row>
    <row r="12" spans="1:14" x14ac:dyDescent="0.25">
      <c r="A12" s="8" t="s">
        <v>86</v>
      </c>
      <c r="B12" s="9">
        <v>0.05</v>
      </c>
      <c r="C12" s="9">
        <v>0.05</v>
      </c>
      <c r="D12" s="9">
        <v>0.1</v>
      </c>
      <c r="E12" s="9">
        <v>0.1</v>
      </c>
      <c r="F12" s="9">
        <v>0.05</v>
      </c>
      <c r="G12" s="9">
        <v>0.15</v>
      </c>
      <c r="H12" s="9">
        <v>0.05</v>
      </c>
      <c r="I12" s="9">
        <v>0.05</v>
      </c>
      <c r="J12" s="9">
        <v>0.2</v>
      </c>
      <c r="K12" s="9">
        <v>0.05</v>
      </c>
      <c r="L12" s="15">
        <v>1</v>
      </c>
      <c r="M12" s="9">
        <v>0.1</v>
      </c>
      <c r="N12" s="9">
        <v>0.2</v>
      </c>
    </row>
    <row r="13" spans="1:14" x14ac:dyDescent="0.25">
      <c r="A13" s="8" t="s">
        <v>87</v>
      </c>
      <c r="B13" s="9">
        <v>0.7</v>
      </c>
      <c r="C13" s="9">
        <v>0.7</v>
      </c>
      <c r="D13" s="9">
        <v>0.65</v>
      </c>
      <c r="E13" s="9">
        <v>0.62</v>
      </c>
      <c r="F13" s="9">
        <v>0.55</v>
      </c>
      <c r="G13" s="9">
        <v>0.65</v>
      </c>
      <c r="H13" s="9">
        <v>0.65</v>
      </c>
      <c r="I13" s="9">
        <v>0.65</v>
      </c>
      <c r="J13" s="9">
        <v>0.3</v>
      </c>
      <c r="K13" s="9">
        <v>0</v>
      </c>
      <c r="L13" s="9">
        <v>0.1</v>
      </c>
      <c r="M13" s="15">
        <v>1</v>
      </c>
      <c r="N13" s="9">
        <v>0.3</v>
      </c>
    </row>
    <row r="14" spans="1:14" x14ac:dyDescent="0.25">
      <c r="A14" s="8" t="s">
        <v>89</v>
      </c>
      <c r="B14" s="9">
        <v>0.3</v>
      </c>
      <c r="C14" s="9">
        <v>0.28</v>
      </c>
      <c r="D14" s="9">
        <v>0.25</v>
      </c>
      <c r="E14" s="9">
        <v>0.2</v>
      </c>
      <c r="F14" s="9">
        <v>0.22</v>
      </c>
      <c r="G14" s="9">
        <v>0.4</v>
      </c>
      <c r="H14" s="9">
        <v>0.45</v>
      </c>
      <c r="I14" s="9">
        <v>0.3</v>
      </c>
      <c r="J14" s="9">
        <v>0.05</v>
      </c>
      <c r="K14" s="9">
        <v>0</v>
      </c>
      <c r="L14" s="9">
        <v>0.2</v>
      </c>
      <c r="M14" s="9">
        <v>0.3</v>
      </c>
      <c r="N14" s="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8" customWidth="1"/>
    <col min="2" max="2" width="22" customWidth="1"/>
    <col min="3" max="3" width="12" style="16" customWidth="1"/>
    <col min="4" max="4" width="12" style="1" customWidth="1"/>
    <col min="5" max="6" width="14" style="1" customWidth="1"/>
    <col min="7" max="7" width="90" style="2" customWidth="1"/>
  </cols>
  <sheetData>
    <row r="1" spans="1:7" s="3" customFormat="1" x14ac:dyDescent="0.25">
      <c r="A1" s="3" t="s">
        <v>61</v>
      </c>
      <c r="B1" s="3" t="s">
        <v>62</v>
      </c>
      <c r="C1" s="17" t="s">
        <v>92</v>
      </c>
      <c r="D1" s="4" t="s">
        <v>93</v>
      </c>
      <c r="E1" s="4" t="s">
        <v>94</v>
      </c>
      <c r="F1" s="4" t="s">
        <v>95</v>
      </c>
      <c r="G1" s="5" t="s">
        <v>3</v>
      </c>
    </row>
    <row r="2" spans="1:7" x14ac:dyDescent="0.25">
      <c r="A2" t="s">
        <v>67</v>
      </c>
      <c r="B2" t="s">
        <v>68</v>
      </c>
      <c r="C2" s="16">
        <v>0.3482856</v>
      </c>
      <c r="D2" s="1">
        <v>0.003</v>
      </c>
      <c r="E2" s="1">
        <f>'CMA Assumptions'!C2-D2</f>
        <v>0.067</v>
      </c>
      <c r="F2" s="1">
        <v>0.6</v>
      </c>
      <c r="G2" s="2" t="s">
        <v>96</v>
      </c>
    </row>
    <row r="3" spans="1:7" x14ac:dyDescent="0.25">
      <c r="A3" t="s">
        <v>69</v>
      </c>
      <c r="B3" t="s">
        <v>70</v>
      </c>
      <c r="C3" s="16">
        <v>0.034526000000000015</v>
      </c>
      <c r="D3" s="1">
        <v>0.002</v>
      </c>
      <c r="E3" s="1">
        <f>'CMA Assumptions'!C3-D3</f>
        <v>0.073</v>
      </c>
      <c r="F3" s="1">
        <v>0.14</v>
      </c>
      <c r="G3" s="2" t="s">
        <v>97</v>
      </c>
    </row>
    <row r="4" spans="1:7" x14ac:dyDescent="0.25">
      <c r="A4" t="s">
        <v>71</v>
      </c>
      <c r="B4" t="s">
        <v>72</v>
      </c>
      <c r="C4" s="16">
        <v>0.011962100000000002</v>
      </c>
      <c r="D4" s="1">
        <v>0.002</v>
      </c>
      <c r="E4" s="1">
        <f>'CMA Assumptions'!C4-D4</f>
        <v>0.063</v>
      </c>
      <c r="F4" s="1">
        <v>0.04</v>
      </c>
      <c r="G4" s="2" t="s">
        <v>98</v>
      </c>
    </row>
    <row r="5" spans="1:7" x14ac:dyDescent="0.25">
      <c r="A5" t="s">
        <v>73</v>
      </c>
      <c r="B5" t="s">
        <v>74</v>
      </c>
      <c r="C5" s="16">
        <v>0.0568366</v>
      </c>
      <c r="D5" s="1">
        <v>0</v>
      </c>
      <c r="E5" s="1">
        <f>'CMA Assumptions'!C5-D5</f>
        <v>0.06</v>
      </c>
      <c r="F5" s="1">
        <v>0.04</v>
      </c>
      <c r="G5" s="2" t="s">
        <v>99</v>
      </c>
    </row>
    <row r="6" spans="1:7" x14ac:dyDescent="0.25">
      <c r="A6" t="s">
        <v>75</v>
      </c>
      <c r="B6" t="s">
        <v>76</v>
      </c>
      <c r="C6" s="16">
        <v>0.028189499999999996</v>
      </c>
      <c r="D6" s="1">
        <v>0.002</v>
      </c>
      <c r="E6" s="1">
        <f>'CMA Assumptions'!C6-D6</f>
        <v>0.057999999999999996</v>
      </c>
      <c r="F6" s="1">
        <v>0.04</v>
      </c>
      <c r="G6" s="2" t="s">
        <v>100</v>
      </c>
    </row>
    <row r="7" spans="1:7" x14ac:dyDescent="0.25">
      <c r="A7" t="s">
        <v>77</v>
      </c>
      <c r="B7" t="s">
        <v>78</v>
      </c>
      <c r="C7" s="16">
        <v>0.0719859</v>
      </c>
      <c r="D7" s="1">
        <v>0.004</v>
      </c>
      <c r="E7" s="1">
        <f>'CMA Assumptions'!C7-D7</f>
        <v>0.081</v>
      </c>
      <c r="F7" s="1">
        <v>0.14</v>
      </c>
      <c r="G7" s="2" t="s">
        <v>101</v>
      </c>
    </row>
    <row r="8" spans="1:7" x14ac:dyDescent="0.25">
      <c r="A8" t="s">
        <v>79</v>
      </c>
      <c r="B8" t="s">
        <v>80</v>
      </c>
      <c r="C8" s="16">
        <v>0</v>
      </c>
      <c r="D8" s="1">
        <v>0.002</v>
      </c>
      <c r="E8" s="1">
        <f>'CMA Assumptions'!C8-D8</f>
        <v>0.078</v>
      </c>
      <c r="F8" s="1">
        <v>0</v>
      </c>
      <c r="G8" s="2" t="s">
        <v>12</v>
      </c>
    </row>
    <row r="9" spans="1:7" x14ac:dyDescent="0.25">
      <c r="A9" t="s">
        <v>81</v>
      </c>
      <c r="B9" t="s">
        <v>82</v>
      </c>
      <c r="C9" s="16">
        <v>0.048214299999999995</v>
      </c>
      <c r="D9" s="1">
        <v>0.0025</v>
      </c>
      <c r="E9" s="1">
        <f>'CMA Assumptions'!C9-D9</f>
        <v>0.06949999999999999</v>
      </c>
      <c r="F9" s="1">
        <v>0</v>
      </c>
      <c r="G9" s="2" t="s">
        <v>102</v>
      </c>
    </row>
    <row r="10" spans="1:7" x14ac:dyDescent="0.25">
      <c r="A10" t="s">
        <v>83</v>
      </c>
      <c r="B10" t="s">
        <v>84</v>
      </c>
      <c r="C10" s="16">
        <v>0.33</v>
      </c>
      <c r="D10" s="1">
        <v>0</v>
      </c>
      <c r="E10" s="1">
        <f>'CMA Assumptions'!C10-D10</f>
        <v>0.035</v>
      </c>
      <c r="F10" s="1">
        <v>0</v>
      </c>
      <c r="G10" s="2" t="s">
        <v>103</v>
      </c>
    </row>
    <row r="11" spans="1:7" x14ac:dyDescent="0.25">
      <c r="A11" t="s">
        <v>85</v>
      </c>
      <c r="B11" t="s">
        <v>8</v>
      </c>
      <c r="C11" s="16">
        <v>0.02</v>
      </c>
      <c r="D11" s="1">
        <v>0</v>
      </c>
      <c r="E11" s="1">
        <f>'CMA Assumptions'!F11-D11</f>
        <v>0.004</v>
      </c>
      <c r="F11" s="1">
        <v>0</v>
      </c>
      <c r="G11" s="2" t="s">
        <v>104</v>
      </c>
    </row>
    <row r="12" spans="1:7" x14ac:dyDescent="0.25">
      <c r="A12" t="s">
        <v>86</v>
      </c>
      <c r="B12" t="s">
        <v>46</v>
      </c>
      <c r="C12" s="16">
        <v>0.05</v>
      </c>
      <c r="D12" s="1">
        <v>0</v>
      </c>
      <c r="E12" s="1">
        <f>'CMA Assumptions'!C12-D12</f>
        <v>0.04</v>
      </c>
      <c r="F12" s="1">
        <v>0</v>
      </c>
      <c r="G12" s="2" t="s">
        <v>105</v>
      </c>
    </row>
    <row r="13" spans="1:7" x14ac:dyDescent="0.25">
      <c r="A13" t="s">
        <v>87</v>
      </c>
      <c r="B13" t="s">
        <v>88</v>
      </c>
      <c r="C13" s="16">
        <v>0</v>
      </c>
      <c r="D13" s="1">
        <v>0</v>
      </c>
      <c r="E13" s="1">
        <f>'CMA Assumptions'!C13-D13</f>
        <v>0.065</v>
      </c>
      <c r="F13" s="1">
        <v>0</v>
      </c>
      <c r="G13" s="2" t="s">
        <v>12</v>
      </c>
    </row>
    <row r="14" spans="1:7" x14ac:dyDescent="0.25">
      <c r="A14" t="s">
        <v>89</v>
      </c>
      <c r="B14" t="s">
        <v>90</v>
      </c>
      <c r="C14" s="16">
        <v>0</v>
      </c>
      <c r="D14" s="1">
        <v>0</v>
      </c>
      <c r="E14" s="1">
        <f>'CMA Assumptions'!C14-D14</f>
        <v>0.12</v>
      </c>
      <c r="F14" s="1">
        <v>0</v>
      </c>
      <c r="G14" s="2" t="s">
        <v>12</v>
      </c>
    </row>
    <row r="15" spans="1:7" s="6" customFormat="1" x14ac:dyDescent="0.25">
      <c r="A15" s="6" t="s">
        <v>51</v>
      </c>
      <c r="C15" s="18">
        <f>SUM(C2:C14)</f>
        <v>1</v>
      </c>
      <c r="D15" s="7"/>
      <c r="E15" s="7"/>
      <c r="F15" s="7">
        <f>SUM(F2:F14)</f>
        <v>1</v>
      </c>
      <c r="G15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14" width="12" style="19" customWidth="1"/>
  </cols>
  <sheetData>
    <row r="1" spans="1:14" s="3" customFormat="1" x14ac:dyDescent="0.25">
      <c r="A1" s="3" t="s">
        <v>106</v>
      </c>
      <c r="B1" s="20" t="s">
        <v>67</v>
      </c>
      <c r="C1" s="20" t="s">
        <v>69</v>
      </c>
      <c r="D1" s="20" t="s">
        <v>71</v>
      </c>
      <c r="E1" s="20" t="s">
        <v>73</v>
      </c>
      <c r="F1" s="20" t="s">
        <v>75</v>
      </c>
      <c r="G1" s="20" t="s">
        <v>77</v>
      </c>
      <c r="H1" s="20" t="s">
        <v>79</v>
      </c>
      <c r="I1" s="20" t="s">
        <v>81</v>
      </c>
      <c r="J1" s="20" t="s">
        <v>83</v>
      </c>
      <c r="K1" s="20" t="s">
        <v>85</v>
      </c>
      <c r="L1" s="20" t="s">
        <v>86</v>
      </c>
      <c r="M1" s="20" t="s">
        <v>87</v>
      </c>
      <c r="N1" s="20" t="s">
        <v>89</v>
      </c>
    </row>
    <row r="2" spans="1:14" x14ac:dyDescent="0.25">
      <c r="A2" s="8" t="s">
        <v>67</v>
      </c>
      <c r="B2" s="19">
        <f>'CMA Assumptions'!$D2*'CMA Assumptions'!$D2*Correlations!B2</f>
        <v>0.0256</v>
      </c>
      <c r="C2" s="19">
        <f>'CMA Assumptions'!$D2*'CMA Assumptions'!$D3*Correlations!C2</f>
        <v>0.022304</v>
      </c>
      <c r="D2" s="19">
        <f>'CMA Assumptions'!$D2*'CMA Assumptions'!$D4*Correlations!D2</f>
        <v>0.01872</v>
      </c>
      <c r="E2" s="19">
        <f>'CMA Assumptions'!$D2*'CMA Assumptions'!$D5*Correlations!E2</f>
        <v>0.01456</v>
      </c>
      <c r="F2" s="19">
        <f>'CMA Assumptions'!$D2*'CMA Assumptions'!$D6*Correlations!F2</f>
        <v>0.01792</v>
      </c>
      <c r="G2" s="19">
        <f>'CMA Assumptions'!$D2*'CMA Assumptions'!$D7*Correlations!G2</f>
        <v>0.025344000000000002</v>
      </c>
      <c r="H2" s="19">
        <f>'CMA Assumptions'!$D2*'CMA Assumptions'!$D8*Correlations!H2</f>
        <v>0.029920000000000002</v>
      </c>
      <c r="I2" s="19">
        <f>'CMA Assumptions'!$D2*'CMA Assumptions'!$D9*Correlations!I2</f>
        <v>0.02312</v>
      </c>
      <c r="J2" s="19">
        <f>'CMA Assumptions'!$D2*'CMA Assumptions'!$D10*Correlations!J2</f>
        <v>0.0009599999999999999</v>
      </c>
      <c r="K2" s="19">
        <f>'CMA Assumptions'!$D2*'CMA Assumptions'!$D11*Correlations!K2</f>
        <v>0</v>
      </c>
      <c r="L2" s="19">
        <f>'CMA Assumptions'!$D2*'CMA Assumptions'!$D12*Correlations!L2</f>
        <v>0.00128</v>
      </c>
      <c r="M2" s="19">
        <f>'CMA Assumptions'!$D2*'CMA Assumptions'!$D13*Correlations!M2</f>
        <v>0.020159999999999997</v>
      </c>
      <c r="N2" s="19">
        <f>'CMA Assumptions'!$D2*'CMA Assumptions'!$D14*Correlations!N2</f>
        <v>0.0336</v>
      </c>
    </row>
    <row r="3" spans="1:14" x14ac:dyDescent="0.25">
      <c r="A3" s="8" t="s">
        <v>69</v>
      </c>
      <c r="B3" s="19">
        <f>'CMA Assumptions'!$D3*'CMA Assumptions'!$D2*Correlations!B3</f>
        <v>0.022304</v>
      </c>
      <c r="C3" s="19">
        <f>'CMA Assumptions'!$D3*'CMA Assumptions'!$D3*Correlations!C3</f>
        <v>0.028900000000000006</v>
      </c>
      <c r="D3" s="19">
        <f>'CMA Assumptions'!$D3*'CMA Assumptions'!$D4*Correlations!D3</f>
        <v>0.021675</v>
      </c>
      <c r="E3" s="19">
        <f>'CMA Assumptions'!$D3*'CMA Assumptions'!$D5*Correlations!E3</f>
        <v>0.017238000000000003</v>
      </c>
      <c r="F3" s="19">
        <f>'CMA Assumptions'!$D3*'CMA Assumptions'!$D6*Correlations!F3</f>
        <v>0.01768</v>
      </c>
      <c r="G3" s="19">
        <f>'CMA Assumptions'!$D3*'CMA Assumptions'!$D7*Correlations!G3</f>
        <v>0.026928</v>
      </c>
      <c r="H3" s="19">
        <f>'CMA Assumptions'!$D3*'CMA Assumptions'!$D8*Correlations!H3</f>
        <v>0.029172000000000003</v>
      </c>
      <c r="I3" s="19">
        <f>'CMA Assumptions'!$D3*'CMA Assumptions'!$D9*Correlations!I3</f>
        <v>0.023120000000000005</v>
      </c>
      <c r="J3" s="19">
        <f>'CMA Assumptions'!$D3*'CMA Assumptions'!$D10*Correlations!J3</f>
        <v>0.00102</v>
      </c>
      <c r="K3" s="19">
        <f>'CMA Assumptions'!$D3*'CMA Assumptions'!$D11*Correlations!K3</f>
        <v>0</v>
      </c>
      <c r="L3" s="19">
        <f>'CMA Assumptions'!$D3*'CMA Assumptions'!$D12*Correlations!L3</f>
        <v>0.00136</v>
      </c>
      <c r="M3" s="19">
        <f>'CMA Assumptions'!$D3*'CMA Assumptions'!$D13*Correlations!M3</f>
        <v>0.02142</v>
      </c>
      <c r="N3" s="19">
        <f>'CMA Assumptions'!$D3*'CMA Assumptions'!$D14*Correlations!N3</f>
        <v>0.03332</v>
      </c>
    </row>
    <row r="4" spans="1:14" x14ac:dyDescent="0.25">
      <c r="A4" s="8" t="s">
        <v>71</v>
      </c>
      <c r="B4" s="19">
        <f>'CMA Assumptions'!$D4*'CMA Assumptions'!$D2*Correlations!B4</f>
        <v>0.01872</v>
      </c>
      <c r="C4" s="19">
        <f>'CMA Assumptions'!$D4*'CMA Assumptions'!$D3*Correlations!C4</f>
        <v>0.021675</v>
      </c>
      <c r="D4" s="19">
        <f>'CMA Assumptions'!$D4*'CMA Assumptions'!$D4*Correlations!D4</f>
        <v>0.0225</v>
      </c>
      <c r="E4" s="19">
        <f>'CMA Assumptions'!$D4*'CMA Assumptions'!$D5*Correlations!E4</f>
        <v>0.014039999999999999</v>
      </c>
      <c r="F4" s="19">
        <f>'CMA Assumptions'!$D4*'CMA Assumptions'!$D6*Correlations!F4</f>
        <v>0.013200000000000002</v>
      </c>
      <c r="G4" s="19">
        <f>'CMA Assumptions'!$D4*'CMA Assumptions'!$D7*Correlations!G4</f>
        <v>0.020460000000000002</v>
      </c>
      <c r="H4" s="19">
        <f>'CMA Assumptions'!$D4*'CMA Assumptions'!$D8*Correlations!H4</f>
        <v>0.02145</v>
      </c>
      <c r="I4" s="19">
        <f>'CMA Assumptions'!$D4*'CMA Assumptions'!$D9*Correlations!I4</f>
        <v>0.019125000000000003</v>
      </c>
      <c r="J4" s="19">
        <f>'CMA Assumptions'!$D4*'CMA Assumptions'!$D10*Correlations!J4</f>
        <v>0.0009</v>
      </c>
      <c r="K4" s="19">
        <f>'CMA Assumptions'!$D4*'CMA Assumptions'!$D11*Correlations!K4</f>
        <v>0</v>
      </c>
      <c r="L4" s="19">
        <f>'CMA Assumptions'!$D4*'CMA Assumptions'!$D12*Correlations!L4</f>
        <v>0.0024000000000000002</v>
      </c>
      <c r="M4" s="19">
        <f>'CMA Assumptions'!$D4*'CMA Assumptions'!$D13*Correlations!M4</f>
        <v>0.01755</v>
      </c>
      <c r="N4" s="19">
        <f>'CMA Assumptions'!$D4*'CMA Assumptions'!$D14*Correlations!N4</f>
        <v>0.02625</v>
      </c>
    </row>
    <row r="5" spans="1:14" x14ac:dyDescent="0.25">
      <c r="A5" s="8" t="s">
        <v>73</v>
      </c>
      <c r="B5" s="19">
        <f>'CMA Assumptions'!$D5*'CMA Assumptions'!$D2*Correlations!B5</f>
        <v>0.01456</v>
      </c>
      <c r="C5" s="19">
        <f>'CMA Assumptions'!$D5*'CMA Assumptions'!$D3*Correlations!C5</f>
        <v>0.017238000000000003</v>
      </c>
      <c r="D5" s="19">
        <f>'CMA Assumptions'!$D5*'CMA Assumptions'!$D4*Correlations!D5</f>
        <v>0.014039999999999999</v>
      </c>
      <c r="E5" s="19">
        <f>'CMA Assumptions'!$D5*'CMA Assumptions'!$D5*Correlations!E5</f>
        <v>0.016900000000000002</v>
      </c>
      <c r="F5" s="19">
        <f>'CMA Assumptions'!$D5*'CMA Assumptions'!$D6*Correlations!F5</f>
        <v>0.011440000000000002</v>
      </c>
      <c r="G5" s="19">
        <f>'CMA Assumptions'!$D5*'CMA Assumptions'!$D7*Correlations!G5</f>
        <v>0.017159999999999998</v>
      </c>
      <c r="H5" s="19">
        <f>'CMA Assumptions'!$D5*'CMA Assumptions'!$D8*Correlations!H5</f>
        <v>0.018590000000000002</v>
      </c>
      <c r="I5" s="19">
        <f>'CMA Assumptions'!$D5*'CMA Assumptions'!$D9*Correlations!I5</f>
        <v>0.01547</v>
      </c>
      <c r="J5" s="19">
        <f>'CMA Assumptions'!$D5*'CMA Assumptions'!$D10*Correlations!J5</f>
        <v>0.0011699999999999998</v>
      </c>
      <c r="K5" s="19">
        <f>'CMA Assumptions'!$D5*'CMA Assumptions'!$D11*Correlations!K5</f>
        <v>0</v>
      </c>
      <c r="L5" s="19">
        <f>'CMA Assumptions'!$D5*'CMA Assumptions'!$D12*Correlations!L5</f>
        <v>0.0020800000000000003</v>
      </c>
      <c r="M5" s="19">
        <f>'CMA Assumptions'!$D5*'CMA Assumptions'!$D13*Correlations!M5</f>
        <v>0.014508</v>
      </c>
      <c r="N5" s="19">
        <f>'CMA Assumptions'!$D5*'CMA Assumptions'!$D14*Correlations!N5</f>
        <v>0.0182</v>
      </c>
    </row>
    <row r="6" spans="1:14" x14ac:dyDescent="0.25">
      <c r="A6" s="8" t="s">
        <v>75</v>
      </c>
      <c r="B6" s="19">
        <f>'CMA Assumptions'!$D6*'CMA Assumptions'!$D2*Correlations!B6</f>
        <v>0.01792</v>
      </c>
      <c r="C6" s="19">
        <f>'CMA Assumptions'!$D6*'CMA Assumptions'!$D3*Correlations!C6</f>
        <v>0.01768</v>
      </c>
      <c r="D6" s="19">
        <f>'CMA Assumptions'!$D6*'CMA Assumptions'!$D4*Correlations!D6</f>
        <v>0.013200000000000002</v>
      </c>
      <c r="E6" s="19">
        <f>'CMA Assumptions'!$D6*'CMA Assumptions'!$D5*Correlations!E6</f>
        <v>0.011440000000000002</v>
      </c>
      <c r="F6" s="19">
        <f>'CMA Assumptions'!$D6*'CMA Assumptions'!$D6*Correlations!F6</f>
        <v>0.0256</v>
      </c>
      <c r="G6" s="19">
        <f>'CMA Assumptions'!$D6*'CMA Assumptions'!$D7*Correlations!G6</f>
        <v>0.02112</v>
      </c>
      <c r="H6" s="19">
        <f>'CMA Assumptions'!$D6*'CMA Assumptions'!$D8*Correlations!H6</f>
        <v>0.02288</v>
      </c>
      <c r="I6" s="19">
        <f>'CMA Assumptions'!$D6*'CMA Assumptions'!$D9*Correlations!I6</f>
        <v>0.01904</v>
      </c>
      <c r="J6" s="19">
        <f>'CMA Assumptions'!$D6*'CMA Assumptions'!$D10*Correlations!J6</f>
        <v>0.0009599999999999999</v>
      </c>
      <c r="K6" s="19">
        <f>'CMA Assumptions'!$D6*'CMA Assumptions'!$D11*Correlations!K6</f>
        <v>0</v>
      </c>
      <c r="L6" s="19">
        <f>'CMA Assumptions'!$D6*'CMA Assumptions'!$D12*Correlations!L6</f>
        <v>0.00128</v>
      </c>
      <c r="M6" s="19">
        <f>'CMA Assumptions'!$D6*'CMA Assumptions'!$D13*Correlations!M6</f>
        <v>0.01584</v>
      </c>
      <c r="N6" s="19">
        <f>'CMA Assumptions'!$D6*'CMA Assumptions'!$D14*Correlations!N6</f>
        <v>0.02464</v>
      </c>
    </row>
    <row r="7" spans="1:14" x14ac:dyDescent="0.25">
      <c r="A7" s="8" t="s">
        <v>77</v>
      </c>
      <c r="B7" s="19">
        <f>'CMA Assumptions'!$D7*'CMA Assumptions'!$D2*Correlations!B7</f>
        <v>0.025344000000000002</v>
      </c>
      <c r="C7" s="19">
        <f>'CMA Assumptions'!$D7*'CMA Assumptions'!$D3*Correlations!C7</f>
        <v>0.026928</v>
      </c>
      <c r="D7" s="19">
        <f>'CMA Assumptions'!$D7*'CMA Assumptions'!$D4*Correlations!D7</f>
        <v>0.020460000000000002</v>
      </c>
      <c r="E7" s="19">
        <f>'CMA Assumptions'!$D7*'CMA Assumptions'!$D5*Correlations!E7</f>
        <v>0.017159999999999998</v>
      </c>
      <c r="F7" s="19">
        <f>'CMA Assumptions'!$D7*'CMA Assumptions'!$D6*Correlations!F7</f>
        <v>0.02112</v>
      </c>
      <c r="G7" s="19">
        <f>'CMA Assumptions'!$D7*'CMA Assumptions'!$D7*Correlations!G7</f>
        <v>0.0484</v>
      </c>
      <c r="H7" s="19">
        <f>'CMA Assumptions'!$D7*'CMA Assumptions'!$D8*Correlations!H7</f>
        <v>0.0363</v>
      </c>
      <c r="I7" s="19">
        <f>'CMA Assumptions'!$D7*'CMA Assumptions'!$D9*Correlations!I7</f>
        <v>0.028050000000000002</v>
      </c>
      <c r="J7" s="19">
        <f>'CMA Assumptions'!$D7*'CMA Assumptions'!$D10*Correlations!J7</f>
        <v>0.00066</v>
      </c>
      <c r="K7" s="19">
        <f>'CMA Assumptions'!$D7*'CMA Assumptions'!$D11*Correlations!K7</f>
        <v>0</v>
      </c>
      <c r="L7" s="19">
        <f>'CMA Assumptions'!$D7*'CMA Assumptions'!$D12*Correlations!L7</f>
        <v>0.00528</v>
      </c>
      <c r="M7" s="19">
        <f>'CMA Assumptions'!$D7*'CMA Assumptions'!$D13*Correlations!M7</f>
        <v>0.02574</v>
      </c>
      <c r="N7" s="19">
        <f>'CMA Assumptions'!$D7*'CMA Assumptions'!$D14*Correlations!N7</f>
        <v>0.0616</v>
      </c>
    </row>
    <row r="8" spans="1:14" x14ac:dyDescent="0.25">
      <c r="A8" s="8" t="s">
        <v>79</v>
      </c>
      <c r="B8" s="19">
        <f>'CMA Assumptions'!$D8*'CMA Assumptions'!$D2*Correlations!B8</f>
        <v>0.029920000000000002</v>
      </c>
      <c r="C8" s="19">
        <f>'CMA Assumptions'!$D8*'CMA Assumptions'!$D3*Correlations!C8</f>
        <v>0.029172000000000003</v>
      </c>
      <c r="D8" s="19">
        <f>'CMA Assumptions'!$D8*'CMA Assumptions'!$D4*Correlations!D8</f>
        <v>0.02145</v>
      </c>
      <c r="E8" s="19">
        <f>'CMA Assumptions'!$D8*'CMA Assumptions'!$D5*Correlations!E8</f>
        <v>0.018590000000000002</v>
      </c>
      <c r="F8" s="19">
        <f>'CMA Assumptions'!$D8*'CMA Assumptions'!$D6*Correlations!F8</f>
        <v>0.02288</v>
      </c>
      <c r="G8" s="19">
        <f>'CMA Assumptions'!$D8*'CMA Assumptions'!$D7*Correlations!G8</f>
        <v>0.0363</v>
      </c>
      <c r="H8" s="19">
        <f>'CMA Assumptions'!$D8*'CMA Assumptions'!$D8*Correlations!H8</f>
        <v>0.0484</v>
      </c>
      <c r="I8" s="19">
        <f>'CMA Assumptions'!$D8*'CMA Assumptions'!$D9*Correlations!I8</f>
        <v>0.029920000000000002</v>
      </c>
      <c r="J8" s="19">
        <f>'CMA Assumptions'!$D8*'CMA Assumptions'!$D10*Correlations!J8</f>
        <v>0.00066</v>
      </c>
      <c r="K8" s="19">
        <f>'CMA Assumptions'!$D8*'CMA Assumptions'!$D11*Correlations!K8</f>
        <v>0</v>
      </c>
      <c r="L8" s="19">
        <f>'CMA Assumptions'!$D8*'CMA Assumptions'!$D12*Correlations!L8</f>
        <v>0.0017600000000000003</v>
      </c>
      <c r="M8" s="19">
        <f>'CMA Assumptions'!$D8*'CMA Assumptions'!$D13*Correlations!M8</f>
        <v>0.02574</v>
      </c>
      <c r="N8" s="19">
        <f>'CMA Assumptions'!$D8*'CMA Assumptions'!$D14*Correlations!N8</f>
        <v>0.0693</v>
      </c>
    </row>
    <row r="9" spans="1:14" x14ac:dyDescent="0.25">
      <c r="A9" s="8" t="s">
        <v>81</v>
      </c>
      <c r="B9" s="19">
        <f>'CMA Assumptions'!$D9*'CMA Assumptions'!$D2*Correlations!B9</f>
        <v>0.02312</v>
      </c>
      <c r="C9" s="19">
        <f>'CMA Assumptions'!$D9*'CMA Assumptions'!$D3*Correlations!C9</f>
        <v>0.023120000000000005</v>
      </c>
      <c r="D9" s="19">
        <f>'CMA Assumptions'!$D9*'CMA Assumptions'!$D4*Correlations!D9</f>
        <v>0.019125000000000003</v>
      </c>
      <c r="E9" s="19">
        <f>'CMA Assumptions'!$D9*'CMA Assumptions'!$D5*Correlations!E9</f>
        <v>0.01547</v>
      </c>
      <c r="F9" s="19">
        <f>'CMA Assumptions'!$D9*'CMA Assumptions'!$D6*Correlations!F9</f>
        <v>0.01904</v>
      </c>
      <c r="G9" s="19">
        <f>'CMA Assumptions'!$D9*'CMA Assumptions'!$D7*Correlations!G9</f>
        <v>0.028050000000000002</v>
      </c>
      <c r="H9" s="19">
        <f>'CMA Assumptions'!$D9*'CMA Assumptions'!$D8*Correlations!H9</f>
        <v>0.029920000000000002</v>
      </c>
      <c r="I9" s="19">
        <f>'CMA Assumptions'!$D9*'CMA Assumptions'!$D9*Correlations!I9</f>
        <v>0.028900000000000006</v>
      </c>
      <c r="J9" s="19">
        <f>'CMA Assumptions'!$D9*'CMA Assumptions'!$D10*Correlations!J9</f>
        <v>0.00102</v>
      </c>
      <c r="K9" s="19">
        <f>'CMA Assumptions'!$D9*'CMA Assumptions'!$D11*Correlations!K9</f>
        <v>0</v>
      </c>
      <c r="L9" s="19">
        <f>'CMA Assumptions'!$D9*'CMA Assumptions'!$D12*Correlations!L9</f>
        <v>0.00136</v>
      </c>
      <c r="M9" s="19">
        <f>'CMA Assumptions'!$D9*'CMA Assumptions'!$D13*Correlations!M9</f>
        <v>0.01989</v>
      </c>
      <c r="N9" s="19">
        <f>'CMA Assumptions'!$D9*'CMA Assumptions'!$D14*Correlations!N9</f>
        <v>0.035699999999999996</v>
      </c>
    </row>
    <row r="10" spans="1:14" x14ac:dyDescent="0.25">
      <c r="A10" s="8" t="s">
        <v>83</v>
      </c>
      <c r="B10" s="19">
        <f>'CMA Assumptions'!$D10*'CMA Assumptions'!$D2*Correlations!B10</f>
        <v>0.0009599999999999999</v>
      </c>
      <c r="C10" s="19">
        <f>'CMA Assumptions'!$D10*'CMA Assumptions'!$D3*Correlations!C10</f>
        <v>0.00102</v>
      </c>
      <c r="D10" s="19">
        <f>'CMA Assumptions'!$D10*'CMA Assumptions'!$D4*Correlations!D10</f>
        <v>0.0009</v>
      </c>
      <c r="E10" s="19">
        <f>'CMA Assumptions'!$D10*'CMA Assumptions'!$D5*Correlations!E10</f>
        <v>0.0011699999999999998</v>
      </c>
      <c r="F10" s="19">
        <f>'CMA Assumptions'!$D10*'CMA Assumptions'!$D6*Correlations!F10</f>
        <v>0.0009599999999999999</v>
      </c>
      <c r="G10" s="19">
        <f>'CMA Assumptions'!$D10*'CMA Assumptions'!$D7*Correlations!G10</f>
        <v>0.00066</v>
      </c>
      <c r="H10" s="19">
        <f>'CMA Assumptions'!$D10*'CMA Assumptions'!$D8*Correlations!H10</f>
        <v>0.00066</v>
      </c>
      <c r="I10" s="19">
        <f>'CMA Assumptions'!$D10*'CMA Assumptions'!$D9*Correlations!I10</f>
        <v>0.00102</v>
      </c>
      <c r="J10" s="19">
        <f>'CMA Assumptions'!$D10*'CMA Assumptions'!$D10*Correlations!J10</f>
        <v>0.0036</v>
      </c>
      <c r="K10" s="19">
        <f>'CMA Assumptions'!$D10*'CMA Assumptions'!$D11*Correlations!K10</f>
        <v>0.00011999999999999999</v>
      </c>
      <c r="L10" s="19">
        <f>'CMA Assumptions'!$D10*'CMA Assumptions'!$D12*Correlations!L10</f>
        <v>0.0019199999999999998</v>
      </c>
      <c r="M10" s="19">
        <f>'CMA Assumptions'!$D10*'CMA Assumptions'!$D13*Correlations!M10</f>
        <v>0.0032399999999999994</v>
      </c>
      <c r="N10" s="19">
        <f>'CMA Assumptions'!$D10*'CMA Assumptions'!$D14*Correlations!N10</f>
        <v>0.0021</v>
      </c>
    </row>
    <row r="11" spans="1:14" x14ac:dyDescent="0.25">
      <c r="A11" s="8" t="s">
        <v>85</v>
      </c>
      <c r="B11" s="19">
        <f>'CMA Assumptions'!$D11*'CMA Assumptions'!$D2*Correlations!B11</f>
        <v>0</v>
      </c>
      <c r="C11" s="19">
        <f>'CMA Assumptions'!$D11*'CMA Assumptions'!$D3*Correlations!C11</f>
        <v>0</v>
      </c>
      <c r="D11" s="19">
        <f>'CMA Assumptions'!$D11*'CMA Assumptions'!$D4*Correlations!D11</f>
        <v>0</v>
      </c>
      <c r="E11" s="19">
        <f>'CMA Assumptions'!$D11*'CMA Assumptions'!$D5*Correlations!E11</f>
        <v>0</v>
      </c>
      <c r="F11" s="19">
        <f>'CMA Assumptions'!$D11*'CMA Assumptions'!$D6*Correlations!F11</f>
        <v>0</v>
      </c>
      <c r="G11" s="19">
        <f>'CMA Assumptions'!$D11*'CMA Assumptions'!$D7*Correlations!G11</f>
        <v>0</v>
      </c>
      <c r="H11" s="19">
        <f>'CMA Assumptions'!$D11*'CMA Assumptions'!$D8*Correlations!H11</f>
        <v>0</v>
      </c>
      <c r="I11" s="19">
        <f>'CMA Assumptions'!$D11*'CMA Assumptions'!$D9*Correlations!I11</f>
        <v>0</v>
      </c>
      <c r="J11" s="19">
        <f>'CMA Assumptions'!$D11*'CMA Assumptions'!$D10*Correlations!J11</f>
        <v>0.00011999999999999999</v>
      </c>
      <c r="K11" s="19">
        <f>'CMA Assumptions'!$D11*'CMA Assumptions'!$D11*Correlations!K11</f>
        <v>0.000025</v>
      </c>
      <c r="L11" s="19">
        <f>'CMA Assumptions'!$D11*'CMA Assumptions'!$D12*Correlations!L11</f>
        <v>0.00004</v>
      </c>
      <c r="M11" s="19">
        <f>'CMA Assumptions'!$D11*'CMA Assumptions'!$D13*Correlations!M11</f>
        <v>0</v>
      </c>
      <c r="N11" s="19">
        <f>'CMA Assumptions'!$D11*'CMA Assumptions'!$D14*Correlations!N11</f>
        <v>0</v>
      </c>
    </row>
    <row r="12" spans="1:14" x14ac:dyDescent="0.25">
      <c r="A12" s="8" t="s">
        <v>86</v>
      </c>
      <c r="B12" s="19">
        <f>'CMA Assumptions'!$D12*'CMA Assumptions'!$D2*Correlations!B12</f>
        <v>0.00128</v>
      </c>
      <c r="C12" s="19">
        <f>'CMA Assumptions'!$D12*'CMA Assumptions'!$D3*Correlations!C12</f>
        <v>0.00136</v>
      </c>
      <c r="D12" s="19">
        <f>'CMA Assumptions'!$D12*'CMA Assumptions'!$D4*Correlations!D12</f>
        <v>0.0024000000000000002</v>
      </c>
      <c r="E12" s="19">
        <f>'CMA Assumptions'!$D12*'CMA Assumptions'!$D5*Correlations!E12</f>
        <v>0.0020800000000000003</v>
      </c>
      <c r="F12" s="19">
        <f>'CMA Assumptions'!$D12*'CMA Assumptions'!$D6*Correlations!F12</f>
        <v>0.00128</v>
      </c>
      <c r="G12" s="19">
        <f>'CMA Assumptions'!$D12*'CMA Assumptions'!$D7*Correlations!G12</f>
        <v>0.00528</v>
      </c>
      <c r="H12" s="19">
        <f>'CMA Assumptions'!$D12*'CMA Assumptions'!$D8*Correlations!H12</f>
        <v>0.0017600000000000003</v>
      </c>
      <c r="I12" s="19">
        <f>'CMA Assumptions'!$D12*'CMA Assumptions'!$D9*Correlations!I12</f>
        <v>0.00136</v>
      </c>
      <c r="J12" s="19">
        <f>'CMA Assumptions'!$D12*'CMA Assumptions'!$D10*Correlations!J12</f>
        <v>0.0019199999999999998</v>
      </c>
      <c r="K12" s="19">
        <f>'CMA Assumptions'!$D12*'CMA Assumptions'!$D11*Correlations!K12</f>
        <v>0.00004</v>
      </c>
      <c r="L12" s="19">
        <f>'CMA Assumptions'!$D12*'CMA Assumptions'!$D12*Correlations!L12</f>
        <v>0.0256</v>
      </c>
      <c r="M12" s="19">
        <f>'CMA Assumptions'!$D12*'CMA Assumptions'!$D13*Correlations!M12</f>
        <v>0.00288</v>
      </c>
      <c r="N12" s="19">
        <f>'CMA Assumptions'!$D12*'CMA Assumptions'!$D14*Correlations!N12</f>
        <v>0.0224</v>
      </c>
    </row>
    <row r="13" spans="1:14" x14ac:dyDescent="0.25">
      <c r="A13" s="8" t="s">
        <v>87</v>
      </c>
      <c r="B13" s="19">
        <f>'CMA Assumptions'!$D13*'CMA Assumptions'!$D2*Correlations!B13</f>
        <v>0.020159999999999997</v>
      </c>
      <c r="C13" s="19">
        <f>'CMA Assumptions'!$D13*'CMA Assumptions'!$D3*Correlations!C13</f>
        <v>0.02142</v>
      </c>
      <c r="D13" s="19">
        <f>'CMA Assumptions'!$D13*'CMA Assumptions'!$D4*Correlations!D13</f>
        <v>0.01755</v>
      </c>
      <c r="E13" s="19">
        <f>'CMA Assumptions'!$D13*'CMA Assumptions'!$D5*Correlations!E13</f>
        <v>0.014508</v>
      </c>
      <c r="F13" s="19">
        <f>'CMA Assumptions'!$D13*'CMA Assumptions'!$D6*Correlations!F13</f>
        <v>0.01584</v>
      </c>
      <c r="G13" s="19">
        <f>'CMA Assumptions'!$D13*'CMA Assumptions'!$D7*Correlations!G13</f>
        <v>0.02574</v>
      </c>
      <c r="H13" s="19">
        <f>'CMA Assumptions'!$D13*'CMA Assumptions'!$D8*Correlations!H13</f>
        <v>0.02574</v>
      </c>
      <c r="I13" s="19">
        <f>'CMA Assumptions'!$D13*'CMA Assumptions'!$D9*Correlations!I13</f>
        <v>0.01989</v>
      </c>
      <c r="J13" s="19">
        <f>'CMA Assumptions'!$D13*'CMA Assumptions'!$D10*Correlations!J13</f>
        <v>0.0032399999999999994</v>
      </c>
      <c r="K13" s="19">
        <f>'CMA Assumptions'!$D13*'CMA Assumptions'!$D11*Correlations!K13</f>
        <v>0</v>
      </c>
      <c r="L13" s="19">
        <f>'CMA Assumptions'!$D13*'CMA Assumptions'!$D12*Correlations!L13</f>
        <v>0.00288</v>
      </c>
      <c r="M13" s="19">
        <f>'CMA Assumptions'!$D13*'CMA Assumptions'!$D13*Correlations!M13</f>
        <v>0.0324</v>
      </c>
      <c r="N13" s="19">
        <f>'CMA Assumptions'!$D13*'CMA Assumptions'!$D14*Correlations!N13</f>
        <v>0.0378</v>
      </c>
    </row>
    <row r="14" spans="1:14" x14ac:dyDescent="0.25">
      <c r="A14" s="8" t="s">
        <v>89</v>
      </c>
      <c r="B14" s="19">
        <f>'CMA Assumptions'!$D14*'CMA Assumptions'!$D2*Correlations!B14</f>
        <v>0.0336</v>
      </c>
      <c r="C14" s="19">
        <f>'CMA Assumptions'!$D14*'CMA Assumptions'!$D3*Correlations!C14</f>
        <v>0.03332</v>
      </c>
      <c r="D14" s="19">
        <f>'CMA Assumptions'!$D14*'CMA Assumptions'!$D4*Correlations!D14</f>
        <v>0.02625</v>
      </c>
      <c r="E14" s="19">
        <f>'CMA Assumptions'!$D14*'CMA Assumptions'!$D5*Correlations!E14</f>
        <v>0.0182</v>
      </c>
      <c r="F14" s="19">
        <f>'CMA Assumptions'!$D14*'CMA Assumptions'!$D6*Correlations!F14</f>
        <v>0.02464</v>
      </c>
      <c r="G14" s="19">
        <f>'CMA Assumptions'!$D14*'CMA Assumptions'!$D7*Correlations!G14</f>
        <v>0.0616</v>
      </c>
      <c r="H14" s="19">
        <f>'CMA Assumptions'!$D14*'CMA Assumptions'!$D8*Correlations!H14</f>
        <v>0.0693</v>
      </c>
      <c r="I14" s="19">
        <f>'CMA Assumptions'!$D14*'CMA Assumptions'!$D9*Correlations!I14</f>
        <v>0.035699999999999996</v>
      </c>
      <c r="J14" s="19">
        <f>'CMA Assumptions'!$D14*'CMA Assumptions'!$D10*Correlations!J14</f>
        <v>0.0021</v>
      </c>
      <c r="K14" s="19">
        <f>'CMA Assumptions'!$D14*'CMA Assumptions'!$D11*Correlations!K14</f>
        <v>0</v>
      </c>
      <c r="L14" s="19">
        <f>'CMA Assumptions'!$D14*'CMA Assumptions'!$D12*Correlations!L14</f>
        <v>0.0224</v>
      </c>
      <c r="M14" s="19">
        <f>'CMA Assumptions'!$D14*'CMA Assumptions'!$D13*Correlations!M14</f>
        <v>0.0378</v>
      </c>
      <c r="N14" s="19">
        <f>'CMA Assumptions'!$D14*'CMA Assumptions'!$D14*Correlations!N14</f>
        <v>0.48999999999999994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8" customWidth="1"/>
    <col min="2" max="2" width="16" customWidth="1"/>
    <col min="3" max="3" width="80" customWidth="1"/>
  </cols>
  <sheetData>
    <row r="1" spans="1:3" s="3" customFormat="1" x14ac:dyDescent="0.25">
      <c r="A1" s="3" t="s">
        <v>107</v>
      </c>
      <c r="B1" s="3" t="s">
        <v>108</v>
      </c>
      <c r="C1" s="3" t="s">
        <v>109</v>
      </c>
    </row>
    <row r="2" spans="1:1" s="6" customFormat="1" x14ac:dyDescent="0.25">
      <c r="A2" s="6" t="s">
        <v>110</v>
      </c>
    </row>
    <row r="3" spans="1:3" x14ac:dyDescent="0.25">
      <c r="A3" t="s">
        <v>111</v>
      </c>
      <c r="B3" s="21">
        <f>SUMPRODUCT('Look-through Exposures'!C2:C14,MMULT(_Covariance!B2:N14,'Look-through Exposures'!C2:C14))</f>
        <v>0.009223902575730584</v>
      </c>
      <c r="C3" s="2" t="s">
        <v>112</v>
      </c>
    </row>
    <row r="4" spans="1:3" x14ac:dyDescent="0.25">
      <c r="A4" t="s">
        <v>113</v>
      </c>
      <c r="B4" s="21">
        <f>SUMPRODUCT('Look-through Exposures'!F2:F14,MMULT(_Covariance!B2:N14,'Look-through Exposures'!F2:F14))</f>
        <v>0.023768627200000003</v>
      </c>
      <c r="C4" s="2" t="s">
        <v>114</v>
      </c>
    </row>
    <row r="5" spans="1:3" x14ac:dyDescent="0.25">
      <c r="A5" t="s">
        <v>115</v>
      </c>
      <c r="B5" s="21">
        <f>SUMPRODUCT('Look-through Exposures'!C2:C14,MMULT(_Covariance!B2:N14,'Look-through Exposures'!F2:F14))</f>
        <v>0.014349194083082004</v>
      </c>
      <c r="C5" s="2" t="s">
        <v>116</v>
      </c>
    </row>
    <row r="6" spans="1:3" x14ac:dyDescent="0.25">
      <c r="A6" t="s">
        <v>117</v>
      </c>
      <c r="B6" s="22">
        <f>SUM('Look-through Exposures'!C2:C9)+'Look-through Exposures'!C13+'Look-through Exposures'!C14</f>
        <v>0.6</v>
      </c>
      <c r="C6" s="2" t="s">
        <v>118</v>
      </c>
    </row>
    <row r="7" spans="1:2" x14ac:dyDescent="0.25">
      <c r="A7" t="s">
        <v>119</v>
      </c>
      <c r="B7" s="1">
        <f>'CMA Assumptions'!F2</f>
        <v>0.004</v>
      </c>
    </row>
    <row r="8" spans="1:1" s="6" customFormat="1" x14ac:dyDescent="0.25">
      <c r="A8" s="6" t="s">
        <v>120</v>
      </c>
    </row>
    <row r="9" spans="1:3" x14ac:dyDescent="0.25">
      <c r="A9" t="s">
        <v>121</v>
      </c>
      <c r="B9" s="22">
        <f>SUMPRODUCT('Look-through Exposures'!C2:C14,'Look-through Exposures'!E2:E14)</f>
        <v>0.054466084250000005</v>
      </c>
      <c r="C9" s="2" t="s">
        <v>122</v>
      </c>
    </row>
    <row r="10" spans="1:3" x14ac:dyDescent="0.25">
      <c r="A10" t="s">
        <v>123</v>
      </c>
      <c r="B10" s="22">
        <f>SQRT(MAX(SUMPRODUCT('Look-through Exposures'!C2:C14,MMULT(_Covariance!B2:N14,'Look-through Exposures'!C2:C14)),0))</f>
        <v>0.09604115042902486</v>
      </c>
      <c r="C10" s="2" t="s">
        <v>124</v>
      </c>
    </row>
    <row r="11" spans="1:3" x14ac:dyDescent="0.25">
      <c r="A11" t="s">
        <v>125</v>
      </c>
      <c r="B11" s="23">
        <f>IF(SQRT(MAX(SUMPRODUCT('Look-through Exposures'!C2:C14,MMULT(_Covariance!B2:N14,'Look-through Exposures'!C2:C14)),0))&gt;0,(SUMPRODUCT('Look-through Exposures'!C2:C14,'Look-through Exposures'!E2:E14)-'CMA Assumptions'!F2)/SQRT(MAX(SUMPRODUCT('Look-through Exposures'!C2:C14,MMULT(_Covariance!B2:N14,'Look-through Exposures'!C2:C14)),0)),0)</f>
        <v>0.5254631376713341</v>
      </c>
      <c r="C11" s="2" t="s">
        <v>126</v>
      </c>
    </row>
    <row r="12" spans="1:3" x14ac:dyDescent="0.25">
      <c r="A12" t="s">
        <v>127</v>
      </c>
      <c r="B12" s="24">
        <f>-MIN(0.85,(1.8+1.4*(SUM('Look-through Exposures'!C2:C9)+'Look-through Exposures'!C13+'Look-through Exposures'!C14))*SQRT(MAX(SUMPRODUCT('Look-through Exposures'!C2:C14,MMULT(_Covariance!B2:N14,'Look-through Exposures'!C2:C14)),0)))</f>
        <v>-0.25354863713262565</v>
      </c>
      <c r="C12" s="2" t="s">
        <v>128</v>
      </c>
    </row>
    <row r="13" spans="1:3" x14ac:dyDescent="0.25">
      <c r="A13" t="s">
        <v>129</v>
      </c>
      <c r="B13" s="25">
        <f>IF(SUMPRODUCT('Look-through Exposures'!F2:F14,MMULT(_Covariance!B2:N14,'Look-through Exposures'!F2:F14))&gt;0,SUMPRODUCT('Look-through Exposures'!C2:C14,MMULT(_Covariance!B2:N14,'Look-through Exposures'!F2:F14))/SUMPRODUCT('Look-through Exposures'!F2:F14,MMULT(_Covariance!B2:N14,'Look-through Exposures'!F2:F14)),0)</f>
        <v>0.6037031067188433</v>
      </c>
      <c r="C13" s="2" t="s">
        <v>130</v>
      </c>
    </row>
    <row r="14" spans="1:3" x14ac:dyDescent="0.25">
      <c r="A14" t="s">
        <v>131</v>
      </c>
      <c r="B14" s="22">
        <f>(SUMPRODUCT('Look-through Exposures'!C2:C14,'Look-through Exposures'!E2:E14))-('CMA Assumptions'!F2+(IF(SUMPRODUCT('Look-through Exposures'!F2:F14,MMULT(_Covariance!B2:N14,'Look-through Exposures'!F2:F14))&gt;0,SUMPRODUCT('Look-through Exposures'!C2:C14,MMULT(_Covariance!B2:N14,'Look-through Exposures'!F2:F14))/SUMPRODUCT('Look-through Exposures'!F2:F14,MMULT(_Covariance!B2:N14,'Look-through Exposures'!F2:F14)),0))*(SUMPRODUCT('Look-through Exposures'!F2:F14,'Look-through Exposures'!E2:E14)-'CMA Assumptions'!F2))</f>
        <v>0.01122538231327519</v>
      </c>
      <c r="C14" s="2" t="s">
        <v>132</v>
      </c>
    </row>
    <row r="15" spans="1:3" x14ac:dyDescent="0.25">
      <c r="A15" t="s">
        <v>133</v>
      </c>
      <c r="B15" s="24">
        <f>SQRT(MAX(SUMPRODUCT('Look-through Exposures'!C2:C14,MMULT(_Covariance!B2:N14,'Look-through Exposures'!C2:C14))+SUMPRODUCT('Look-through Exposures'!F2:F14,MMULT(_Covariance!B2:N14,'Look-through Exposures'!F2:F14))-2*SUMPRODUCT('Look-through Exposures'!C2:C14,MMULT(_Covariance!B2:N14,'Look-through Exposures'!F2:F14)),0))</f>
        <v>0.0655297002096498</v>
      </c>
      <c r="C15" s="2" t="s">
        <v>134</v>
      </c>
    </row>
    <row r="16" spans="1:3" x14ac:dyDescent="0.25">
      <c r="A16" t="s">
        <v>135</v>
      </c>
      <c r="B16" s="22">
        <f>SUMPRODUCT('Look-through Exposures'!C2:C14,'Look-through Exposures'!E2:E14)-SUMPRODUCT('Look-through Exposures'!F2:F14,'Look-through Exposures'!E2:E14)</f>
        <v>-0.014533915750000001</v>
      </c>
      <c r="C16" s="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36" customWidth="1"/>
    <col min="2" max="2" width="28" customWidth="1"/>
    <col min="3" max="3" width="60" customWidth="1"/>
  </cols>
  <sheetData>
    <row r="1" spans="1:1" s="6" customFormat="1" x14ac:dyDescent="0.25">
      <c r="A1" s="6" t="s">
        <v>137</v>
      </c>
    </row>
    <row r="2" spans="1:3" x14ac:dyDescent="0.25">
      <c r="A2" t="s">
        <v>138</v>
      </c>
      <c r="B2" t="s">
        <v>139</v>
      </c>
      <c r="C2" t="s">
        <v>140</v>
      </c>
    </row>
    <row r="3" spans="1:3" x14ac:dyDescent="0.25">
      <c r="A3" t="s">
        <v>141</v>
      </c>
      <c r="B3" t="s">
        <v>142</v>
      </c>
      <c r="C3" t="s">
        <v>140</v>
      </c>
    </row>
    <row r="5" spans="1:1" s="6" customFormat="1" x14ac:dyDescent="0.25">
      <c r="A5" s="6" t="s">
        <v>143</v>
      </c>
    </row>
    <row r="6" spans="1:3" x14ac:dyDescent="0.25">
      <c r="A6" t="s">
        <v>144</v>
      </c>
      <c r="B6" t="s">
        <v>9</v>
      </c>
      <c r="C6" t="s">
        <v>140</v>
      </c>
    </row>
    <row r="7" spans="1:3" x14ac:dyDescent="0.25">
      <c r="A7" t="s">
        <v>145</v>
      </c>
      <c r="B7" t="s">
        <v>146</v>
      </c>
      <c r="C7" t="s">
        <v>140</v>
      </c>
    </row>
    <row r="8" spans="1:3" x14ac:dyDescent="0.25">
      <c r="A8" t="s">
        <v>147</v>
      </c>
      <c r="B8">
        <v>10</v>
      </c>
      <c r="C8" t="s">
        <v>140</v>
      </c>
    </row>
    <row r="9" spans="1:3" x14ac:dyDescent="0.25">
      <c r="A9" t="s">
        <v>148</v>
      </c>
      <c r="B9" t="s">
        <v>149</v>
      </c>
      <c r="C9" t="s">
        <v>140</v>
      </c>
    </row>
    <row r="10" spans="1:3" x14ac:dyDescent="0.25">
      <c r="A10" t="s">
        <v>150</v>
      </c>
      <c r="B10">
        <v>10</v>
      </c>
      <c r="C10" t="s">
        <v>140</v>
      </c>
    </row>
    <row r="11" spans="1:3" x14ac:dyDescent="0.25">
      <c r="A11" t="s">
        <v>151</v>
      </c>
      <c r="B11" t="s">
        <v>152</v>
      </c>
      <c r="C11" t="s">
        <v>140</v>
      </c>
    </row>
    <row r="12" spans="1:3" x14ac:dyDescent="0.25">
      <c r="A12" t="s">
        <v>153</v>
      </c>
      <c r="B12" t="s">
        <v>154</v>
      </c>
      <c r="C12" t="s">
        <v>140</v>
      </c>
    </row>
    <row r="13" spans="1:3" x14ac:dyDescent="0.25">
      <c r="A13" t="s">
        <v>155</v>
      </c>
      <c r="B13" t="s">
        <v>156</v>
      </c>
      <c r="C13" t="s">
        <v>140</v>
      </c>
    </row>
    <row r="14" spans="1:3" x14ac:dyDescent="0.25">
      <c r="A14" t="s">
        <v>157</v>
      </c>
      <c r="B14" t="s">
        <v>156</v>
      </c>
      <c r="C14" t="s">
        <v>140</v>
      </c>
    </row>
    <row r="15" spans="1:3" x14ac:dyDescent="0.25">
      <c r="A15" t="s">
        <v>158</v>
      </c>
      <c r="B15" t="s">
        <v>159</v>
      </c>
      <c r="C15" t="s">
        <v>140</v>
      </c>
    </row>
    <row r="16" spans="1:3" x14ac:dyDescent="0.25">
      <c r="A16" t="s">
        <v>90</v>
      </c>
      <c r="B16" t="s">
        <v>156</v>
      </c>
      <c r="C16" t="s">
        <v>140</v>
      </c>
    </row>
    <row r="17" spans="1:3" x14ac:dyDescent="0.25">
      <c r="A17" t="s">
        <v>160</v>
      </c>
      <c r="B17" t="s">
        <v>156</v>
      </c>
      <c r="C17" t="s">
        <v>140</v>
      </c>
    </row>
    <row r="18" spans="1:3" x14ac:dyDescent="0.25">
      <c r="A18" t="s">
        <v>161</v>
      </c>
      <c r="B18" t="s">
        <v>159</v>
      </c>
      <c r="C18" t="s">
        <v>140</v>
      </c>
    </row>
    <row r="20" spans="1:1" s="6" customFormat="1" x14ac:dyDescent="0.25">
      <c r="A20" s="6" t="s">
        <v>162</v>
      </c>
    </row>
    <row r="21" spans="1:3" x14ac:dyDescent="0.25">
      <c r="A21" t="s">
        <v>163</v>
      </c>
      <c r="B21" s="1">
        <v>0.0425</v>
      </c>
      <c r="C21" t="s">
        <v>164</v>
      </c>
    </row>
    <row r="22" spans="1:3" x14ac:dyDescent="0.25">
      <c r="A22" t="s">
        <v>165</v>
      </c>
      <c r="B22" s="1">
        <v>0.03</v>
      </c>
      <c r="C22" t="s">
        <v>166</v>
      </c>
    </row>
    <row r="23" spans="1:3" x14ac:dyDescent="0.25">
      <c r="A23" t="s">
        <v>167</v>
      </c>
      <c r="B23" s="1">
        <v>0.049</v>
      </c>
      <c r="C23" t="s">
        <v>166</v>
      </c>
    </row>
    <row r="24" spans="1:3" x14ac:dyDescent="0.25">
      <c r="A24" t="s">
        <v>168</v>
      </c>
      <c r="B24" s="1">
        <v>0.004</v>
      </c>
      <c r="C24" t="s">
        <v>166</v>
      </c>
    </row>
    <row r="26" spans="1:1" s="6" customFormat="1" x14ac:dyDescent="0.25">
      <c r="A26" s="6" t="s">
        <v>169</v>
      </c>
    </row>
    <row r="27" spans="1:3" x14ac:dyDescent="0.25">
      <c r="A27" t="s">
        <v>170</v>
      </c>
      <c r="B27">
        <v>1</v>
      </c>
      <c r="C27" t="s">
        <v>171</v>
      </c>
    </row>
    <row r="28" spans="1:3" x14ac:dyDescent="0.25">
      <c r="A28" t="s">
        <v>172</v>
      </c>
      <c r="B28">
        <v>1.5</v>
      </c>
      <c r="C28" t="s">
        <v>171</v>
      </c>
    </row>
    <row r="29" spans="1:3" x14ac:dyDescent="0.25">
      <c r="A29" t="s">
        <v>173</v>
      </c>
      <c r="B29">
        <v>1.5</v>
      </c>
      <c r="C29" t="s">
        <v>171</v>
      </c>
    </row>
    <row r="30" spans="1:3" x14ac:dyDescent="0.25">
      <c r="A30" t="s">
        <v>174</v>
      </c>
      <c r="B30">
        <v>2.5</v>
      </c>
      <c r="C30" t="s">
        <v>171</v>
      </c>
    </row>
    <row r="32" spans="1:1" s="6" customFormat="1" x14ac:dyDescent="0.25">
      <c r="A32" s="6" t="s">
        <v>175</v>
      </c>
    </row>
    <row r="33" spans="1:3" x14ac:dyDescent="0.25">
      <c r="A33" t="s">
        <v>176</v>
      </c>
      <c r="B33" t="s">
        <v>177</v>
      </c>
      <c r="C33" t="s">
        <v>178</v>
      </c>
    </row>
    <row r="34" spans="1:3" x14ac:dyDescent="0.25">
      <c r="A34" t="s">
        <v>179</v>
      </c>
      <c r="B34" t="s">
        <v>149</v>
      </c>
      <c r="C34" t="s">
        <v>140</v>
      </c>
    </row>
    <row r="35" spans="1:3" x14ac:dyDescent="0.25">
      <c r="A35" t="s">
        <v>180</v>
      </c>
      <c r="B35" t="s">
        <v>181</v>
      </c>
      <c r="C35" t="s">
        <v>140</v>
      </c>
    </row>
    <row r="36" spans="1:3" x14ac:dyDescent="0.25">
      <c r="A36" t="s">
        <v>182</v>
      </c>
      <c r="B36" t="s">
        <v>183</v>
      </c>
      <c r="C36" t="s">
        <v>140</v>
      </c>
    </row>
    <row r="37" spans="1:3" x14ac:dyDescent="0.25">
      <c r="A37" t="s">
        <v>184</v>
      </c>
      <c r="B37" t="s">
        <v>185</v>
      </c>
      <c r="C37" t="s">
        <v>140</v>
      </c>
    </row>
    <row r="38" spans="1:3" x14ac:dyDescent="0.25">
      <c r="A38" t="s">
        <v>186</v>
      </c>
      <c r="B38" t="s">
        <v>187</v>
      </c>
      <c r="C38" t="s">
        <v>140</v>
      </c>
    </row>
    <row r="40" spans="1:1" s="6" customFormat="1" x14ac:dyDescent="0.25">
      <c r="A40" s="6" t="s">
        <v>188</v>
      </c>
    </row>
    <row r="41" spans="1:3" x14ac:dyDescent="0.25">
      <c r="A41" t="s">
        <v>68</v>
      </c>
      <c r="B41" s="1">
        <v>0.6</v>
      </c>
      <c r="C41" t="s">
        <v>67</v>
      </c>
    </row>
    <row r="42" spans="1:3" x14ac:dyDescent="0.25">
      <c r="A42" t="s">
        <v>70</v>
      </c>
      <c r="B42" s="1">
        <v>0.14</v>
      </c>
      <c r="C42" t="s">
        <v>69</v>
      </c>
    </row>
    <row r="43" spans="1:3" x14ac:dyDescent="0.25">
      <c r="A43" t="s">
        <v>72</v>
      </c>
      <c r="B43" s="1">
        <v>0.04</v>
      </c>
      <c r="C43" t="s">
        <v>71</v>
      </c>
    </row>
    <row r="44" spans="1:3" x14ac:dyDescent="0.25">
      <c r="A44" t="s">
        <v>74</v>
      </c>
      <c r="B44" s="1">
        <v>0.04</v>
      </c>
      <c r="C44" t="s">
        <v>73</v>
      </c>
    </row>
    <row r="45" spans="1:3" x14ac:dyDescent="0.25">
      <c r="A45" t="s">
        <v>76</v>
      </c>
      <c r="B45" s="1">
        <v>0.04</v>
      </c>
      <c r="C45" t="s">
        <v>75</v>
      </c>
    </row>
    <row r="46" spans="1:3" x14ac:dyDescent="0.25">
      <c r="A46" t="s">
        <v>78</v>
      </c>
      <c r="B46" s="1">
        <v>0.14</v>
      </c>
      <c r="C4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Allocation</vt:lpstr>
      <vt:lpstr>CMA Assumptions</vt:lpstr>
      <vt:lpstr>Correlations</vt:lpstr>
      <vt:lpstr>Look-through Exposures</vt:lpstr>
      <vt:lpstr>_Covariance</vt:lpstr>
      <vt:lpstr>Risk &amp; Performance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Decision Lab</dc:creator>
  <dc:title/>
  <dc:subject/>
  <dc:description/>
  <cp:keywords/>
  <cp:category/>
  <cp:lastModifiedBy>Unknown</cp:lastModifiedBy>
  <dcterms:created xsi:type="dcterms:W3CDTF">2026-05-12T00:00:00Z</dcterms:created>
  <dcterms:modified xsi:type="dcterms:W3CDTF">2026-05-12T16:10:16Z</dcterms:modified>
</cp:coreProperties>
</file>